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Grid and Calculator" sheetId="1" r:id="rId3"/>
  </sheets>
  <definedNames>
    <definedName name="PointList">'Component Grid and Calculator'!$T$2:$U$135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JesterJFool:
Change this only if the spell shape of the spell declares targets must be specified, or if targets are selective.</t>
      </text>
    </comment>
    <comment authorId="0" ref="I3">
      <text>
        <t xml:space="preserve">JesterJFool:
This is the number of ations the spell energy lasts (effects of the spell may last longer).</t>
      </text>
    </comment>
    <comment authorId="0" ref="L3">
      <text>
        <t xml:space="preserve">JesterJFool:
Select the primary energy type.</t>
      </text>
    </comment>
    <comment authorId="0" ref="P3">
      <text>
        <t xml:space="preserve">JesterJFool:
Select the primary energy type.</t>
      </text>
    </comment>
    <comment authorId="0" ref="L4">
      <text>
        <t xml:space="preserve">JesterJFool:
Select the potency ranks of the primary energy type. Note: Total potency ranks of all energy types used in the spell may not exceed total ranks in magic and magic pool.</t>
      </text>
    </comment>
    <comment authorId="0" ref="L5">
      <text>
        <t xml:space="preserve">JesterJFool:
Single is for a single target. Defined is for areas, as defined by the shape of the spell. </t>
      </text>
    </comment>
    <comment authorId="0" ref="L6">
      <text>
        <t xml:space="preserve">JesterJFool:
Building starts with the damage of a single potency rank, and builds to the full potency of the spell over a number of actions equal to the potency ranks. 
Diminishing starts at the full potency and decreases to a single potency rank over a number of actions equal to the potency ranks. 
Intensifying starts at the full potency and increases by one potency rank for each duration increment of the spell.</t>
      </text>
    </comment>
    <comment authorId="0" ref="L7">
      <text>
        <t xml:space="preserve">JesterJFool:
Treat Thrown and Projected spells as attacks, using the caster's primary casting stat as the attack bonus. </t>
      </text>
    </comment>
    <comment authorId="0" ref="L12">
      <text>
        <t xml:space="preserve">JesterJFool:
Select the primary energy type.</t>
      </text>
    </comment>
    <comment authorId="0" ref="P12">
      <text>
        <t xml:space="preserve">JesterJFool:
Select the primary energy type.</t>
      </text>
    </comment>
    <comment authorId="0" ref="L21">
      <text>
        <t xml:space="preserve">JesterJFool:
Select the primary energy type.</t>
      </text>
    </comment>
    <comment authorId="0" ref="P21">
      <text>
        <t xml:space="preserve">JesterJFool:
Select the primary energy type.</t>
      </text>
    </comment>
    <comment authorId="0" ref="Q30">
      <text>
        <t xml:space="preserve">JesterJFool:
This is the number of size increments times the number of range increments used for the spell.</t>
      </text>
    </comment>
  </commentList>
</comments>
</file>

<file path=xl/sharedStrings.xml><?xml version="1.0" encoding="utf-8"?>
<sst xmlns="http://schemas.openxmlformats.org/spreadsheetml/2006/main" count="750" uniqueCount="221">
  <si>
    <t>Target</t>
  </si>
  <si>
    <t>Difficulty</t>
  </si>
  <si>
    <t>Formula</t>
  </si>
  <si>
    <t>Cost</t>
  </si>
  <si>
    <t>Number of Targets</t>
  </si>
  <si>
    <t>First Part</t>
  </si>
  <si>
    <t>Selection</t>
  </si>
  <si>
    <t>Points</t>
  </si>
  <si>
    <t>Fourth Part</t>
  </si>
  <si>
    <t>None</t>
  </si>
  <si>
    <t>Simple</t>
  </si>
  <si>
    <t>Basic</t>
  </si>
  <si>
    <t>Intermediate</t>
  </si>
  <si>
    <t>Advanced</t>
  </si>
  <si>
    <t>Master</t>
  </si>
  <si>
    <t>Single/Defined</t>
  </si>
  <si>
    <t>Duration Increments</t>
  </si>
  <si>
    <t>Energy</t>
  </si>
  <si>
    <t>Elemental</t>
  </si>
  <si>
    <t>Acid</t>
  </si>
  <si>
    <t>Group</t>
  </si>
  <si>
    <t>Size</t>
  </si>
  <si>
    <t>Potency</t>
  </si>
  <si>
    <t>Air</t>
  </si>
  <si>
    <t>Selective</t>
  </si>
  <si>
    <t>Distance</t>
  </si>
  <si>
    <t>Tiered</t>
  </si>
  <si>
    <t>Animate I</t>
  </si>
  <si>
    <t>Duration</t>
  </si>
  <si>
    <t>Height</t>
  </si>
  <si>
    <t>Instantaneous</t>
  </si>
  <si>
    <t>Animate II</t>
  </si>
  <si>
    <t>Charm I</t>
  </si>
  <si>
    <t>Height Increment</t>
  </si>
  <si>
    <t>Shape</t>
  </si>
  <si>
    <t>Touch</t>
  </si>
  <si>
    <t>Animate III</t>
  </si>
  <si>
    <t>Dispel I</t>
  </si>
  <si>
    <t>Building</t>
  </si>
  <si>
    <t>Optional</t>
  </si>
  <si>
    <t>Animate IV</t>
  </si>
  <si>
    <t>Divination I</t>
  </si>
  <si>
    <t>Diminishing</t>
  </si>
  <si>
    <t>Subtotal</t>
  </si>
  <si>
    <t>Animate V</t>
  </si>
  <si>
    <t>Electricity</t>
  </si>
  <si>
    <t>Extended</t>
  </si>
  <si>
    <t>Animate VI</t>
  </si>
  <si>
    <t>Fabricate I</t>
  </si>
  <si>
    <t>Intensifying</t>
  </si>
  <si>
    <t>Second Part</t>
  </si>
  <si>
    <t>Fifth Part</t>
  </si>
  <si>
    <t>Primal</t>
  </si>
  <si>
    <t>Boon</t>
  </si>
  <si>
    <t>Illusion I</t>
  </si>
  <si>
    <t>Size/Distance</t>
  </si>
  <si>
    <t>Distance Multiplier</t>
  </si>
  <si>
    <t>Teleport I</t>
  </si>
  <si>
    <t>NA/NA</t>
  </si>
  <si>
    <t>Charm II</t>
  </si>
  <si>
    <t>Dark</t>
  </si>
  <si>
    <t>Thrown</t>
  </si>
  <si>
    <t>NA/2MU</t>
  </si>
  <si>
    <t>Charm III</t>
  </si>
  <si>
    <t>Explode I</t>
  </si>
  <si>
    <t>Projected</t>
  </si>
  <si>
    <t>NA/5MU</t>
  </si>
  <si>
    <t>Charm IV</t>
  </si>
  <si>
    <t>Force I</t>
  </si>
  <si>
    <t>Ray</t>
  </si>
  <si>
    <t>NA/10MU</t>
  </si>
  <si>
    <t>Cold</t>
  </si>
  <si>
    <t>Implode I</t>
  </si>
  <si>
    <t>Line</t>
  </si>
  <si>
    <t>Curse</t>
  </si>
  <si>
    <t>Light</t>
  </si>
  <si>
    <t>Spread</t>
  </si>
  <si>
    <t>45Deg/1MU</t>
  </si>
  <si>
    <t>Merge I</t>
  </si>
  <si>
    <t>Burst</t>
  </si>
  <si>
    <t>1MU/1MU</t>
  </si>
  <si>
    <t>Death</t>
  </si>
  <si>
    <t>Protection I</t>
  </si>
  <si>
    <t>Emanation</t>
  </si>
  <si>
    <t>Third Part</t>
  </si>
  <si>
    <t>Sixth Part</t>
  </si>
  <si>
    <t>Decay I</t>
  </si>
  <si>
    <t>Repulsion I</t>
  </si>
  <si>
    <t>Fog</t>
  </si>
  <si>
    <t>Decay II</t>
  </si>
  <si>
    <t>Thought I</t>
  </si>
  <si>
    <t>Mist</t>
  </si>
  <si>
    <t>Decay III</t>
  </si>
  <si>
    <t>Dispel II</t>
  </si>
  <si>
    <t>Cloud</t>
  </si>
  <si>
    <t>Destabilization</t>
  </si>
  <si>
    <t>Divination II</t>
  </si>
  <si>
    <t>Wall</t>
  </si>
  <si>
    <t>Disease</t>
  </si>
  <si>
    <t>Flight I</t>
  </si>
  <si>
    <t>Sphere</t>
  </si>
  <si>
    <t>Disintegrate</t>
  </si>
  <si>
    <t>Mutation I</t>
  </si>
  <si>
    <t>Ball</t>
  </si>
  <si>
    <t>Negative</t>
  </si>
  <si>
    <t>Sculpted</t>
  </si>
  <si>
    <t>Positive</t>
  </si>
  <si>
    <t>Dispel III</t>
  </si>
  <si>
    <t>Precognition I</t>
  </si>
  <si>
    <t>n/a</t>
  </si>
  <si>
    <t>Total Potency Ranks</t>
  </si>
  <si>
    <t>Dispel IV</t>
  </si>
  <si>
    <t>Teleport II</t>
  </si>
  <si>
    <t>Charged</t>
  </si>
  <si>
    <t>Shape Increments</t>
  </si>
  <si>
    <t>Dispel V</t>
  </si>
  <si>
    <t>Temporal I</t>
  </si>
  <si>
    <t>Delayed</t>
  </si>
  <si>
    <t>Spell Total Cost</t>
  </si>
  <si>
    <t>Dispel VI</t>
  </si>
  <si>
    <t>Worn</t>
  </si>
  <si>
    <t>Spell Damage Cap</t>
  </si>
  <si>
    <t>Dispel VII</t>
  </si>
  <si>
    <t>Conducted</t>
  </si>
  <si>
    <t>Spell Power</t>
  </si>
  <si>
    <t>Activated</t>
  </si>
  <si>
    <t>Enhancement I</t>
  </si>
  <si>
    <t>Arcing</t>
  </si>
  <si>
    <t>Divination III</t>
  </si>
  <si>
    <t>Fire</t>
  </si>
  <si>
    <t>Concentration</t>
  </si>
  <si>
    <t>Divination IV</t>
  </si>
  <si>
    <t>Hinder I</t>
  </si>
  <si>
    <t>Bestowed</t>
  </si>
  <si>
    <t>Divination V</t>
  </si>
  <si>
    <t>Possession I</t>
  </si>
  <si>
    <t>Seeking</t>
  </si>
  <si>
    <t>Divination VI</t>
  </si>
  <si>
    <t>Spatial I</t>
  </si>
  <si>
    <t>Controlled</t>
  </si>
  <si>
    <t>Highest Energy Power</t>
  </si>
  <si>
    <t>Divination VII</t>
  </si>
  <si>
    <t>Water</t>
  </si>
  <si>
    <t>Mobile Concentration</t>
  </si>
  <si>
    <t>X3</t>
  </si>
  <si>
    <t>Highest Target</t>
  </si>
  <si>
    <t>Divination VIII</t>
  </si>
  <si>
    <t>Highest Duration</t>
  </si>
  <si>
    <t>Drain</t>
  </si>
  <si>
    <t>Highest Shape/Size</t>
  </si>
  <si>
    <t>Earth</t>
  </si>
  <si>
    <t>Explode II</t>
  </si>
  <si>
    <t>Highest Optional Selected</t>
  </si>
  <si>
    <t>Force II</t>
  </si>
  <si>
    <t>Highest Spell Power</t>
  </si>
  <si>
    <t>Implode II</t>
  </si>
  <si>
    <t>Enhancement II</t>
  </si>
  <si>
    <t>Merge II</t>
  </si>
  <si>
    <t>Teleport III</t>
  </si>
  <si>
    <t>Temporal II</t>
  </si>
  <si>
    <t>Explode III</t>
  </si>
  <si>
    <t>Thought II</t>
  </si>
  <si>
    <t>Explode IV</t>
  </si>
  <si>
    <t>Explode V</t>
  </si>
  <si>
    <t>Fabricate II</t>
  </si>
  <si>
    <t>Flight II</t>
  </si>
  <si>
    <t>Illusion II</t>
  </si>
  <si>
    <t>Fabricate III</t>
  </si>
  <si>
    <t>Mutation II</t>
  </si>
  <si>
    <t>Fabricate IV</t>
  </si>
  <si>
    <t>Protection II</t>
  </si>
  <si>
    <t>Repulsion II</t>
  </si>
  <si>
    <t>Slick</t>
  </si>
  <si>
    <t>Stick</t>
  </si>
  <si>
    <t>Flight III</t>
  </si>
  <si>
    <t>Flight IV</t>
  </si>
  <si>
    <t>Force III</t>
  </si>
  <si>
    <t>Siphon</t>
  </si>
  <si>
    <t>Force IV</t>
  </si>
  <si>
    <t>Sound I</t>
  </si>
  <si>
    <t>Force V</t>
  </si>
  <si>
    <t>Teleport IV</t>
  </si>
  <si>
    <t>Gravity</t>
  </si>
  <si>
    <t>Temporal III</t>
  </si>
  <si>
    <t>Hinder II</t>
  </si>
  <si>
    <t>Implode III</t>
  </si>
  <si>
    <t>Illusion III</t>
  </si>
  <si>
    <t>Merge III</t>
  </si>
  <si>
    <t>Illusion IV</t>
  </si>
  <si>
    <t>Possession II</t>
  </si>
  <si>
    <t>Precognition II</t>
  </si>
  <si>
    <t>Teleport V</t>
  </si>
  <si>
    <t>Thought III</t>
  </si>
  <si>
    <t>Implode IV</t>
  </si>
  <si>
    <t>Implode V</t>
  </si>
  <si>
    <t>Life</t>
  </si>
  <si>
    <t>Manipulate</t>
  </si>
  <si>
    <t>Sound II</t>
  </si>
  <si>
    <t>Teleport VI</t>
  </si>
  <si>
    <t>Temporal IV</t>
  </si>
  <si>
    <t>Merge IV</t>
  </si>
  <si>
    <t>Merge V</t>
  </si>
  <si>
    <t>Mutation III</t>
  </si>
  <si>
    <t>Mutation IV</t>
  </si>
  <si>
    <t>Poison</t>
  </si>
  <si>
    <t>Protection III</t>
  </si>
  <si>
    <t>Repulsion III</t>
  </si>
  <si>
    <t>Possession III</t>
  </si>
  <si>
    <t>Precognition III</t>
  </si>
  <si>
    <t>Teleport VII</t>
  </si>
  <si>
    <t>Temporal V</t>
  </si>
  <si>
    <t>Thought IV</t>
  </si>
  <si>
    <t>Protection IV</t>
  </si>
  <si>
    <t>Repulsion IV</t>
  </si>
  <si>
    <t>Spatial II</t>
  </si>
  <si>
    <t>Spirit</t>
  </si>
  <si>
    <t>Teleport VIII</t>
  </si>
  <si>
    <t>Teleport IX</t>
  </si>
  <si>
    <t>Temporal VI</t>
  </si>
  <si>
    <t>Thought V</t>
  </si>
  <si>
    <t>Temporal VII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</si>
</sst>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1.0"/>
      <color rgb="FF000000"/>
      <name val="Calibri"/>
    </font>
    <font>
      <sz val="11.0"/>
      <color rgb="FF006100"/>
      <name val="Calibri"/>
    </font>
    <font>
      <b/>
      <i/>
      <sz val="11.0"/>
      <color rgb="FF000000"/>
      <name val="Calibri"/>
    </font>
    <font>
      <sz val="11.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5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0" numFmtId="0" xfId="0" applyAlignment="1" applyBorder="1" applyFont="1">
      <alignment vertical="center"/>
    </xf>
    <xf borderId="3" fillId="0" fontId="0" numFmtId="0" xfId="0" applyAlignment="1" applyBorder="1" applyFont="1">
      <alignment vertical="center"/>
    </xf>
    <xf borderId="4" fillId="0" fontId="0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2" fontId="2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9" fillId="0" fontId="0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12" fillId="0" fontId="0" numFmtId="0" xfId="0" applyAlignment="1" applyBorder="1" applyFont="1">
      <alignment vertical="center"/>
    </xf>
    <xf borderId="13" fillId="0" fontId="0" numFmtId="0" xfId="0" applyAlignment="1" applyBorder="1" applyFont="1">
      <alignment vertical="center"/>
    </xf>
    <xf borderId="14" fillId="0" fontId="0" numFmtId="0" xfId="0" applyAlignment="1" applyBorder="1" applyFont="1">
      <alignment horizontal="center" vertical="center"/>
    </xf>
    <xf borderId="15" fillId="0" fontId="0" numFmtId="0" xfId="0" applyAlignment="1" applyBorder="1" applyFont="1">
      <alignment vertical="center"/>
    </xf>
    <xf borderId="0" fillId="0" fontId="0" numFmtId="0" xfId="0" applyFont="1"/>
    <xf borderId="16" fillId="0" fontId="1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8" fillId="0" fontId="0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0" numFmtId="0" xfId="0" applyAlignment="1" applyBorder="1" applyFont="1">
      <alignment horizontal="center" vertical="center"/>
    </xf>
    <xf borderId="21" fillId="0" fontId="0" numFmtId="0" xfId="0" applyAlignment="1" applyBorder="1" applyFont="1">
      <alignment horizontal="center" vertical="center"/>
    </xf>
    <xf borderId="22" fillId="0" fontId="0" numFmtId="0" xfId="0" applyAlignment="1" applyBorder="1" applyFont="1">
      <alignment horizontal="center" vertical="center"/>
    </xf>
    <xf borderId="23" fillId="0" fontId="0" numFmtId="0" xfId="0" applyAlignment="1" applyBorder="1" applyFont="1">
      <alignment vertical="center"/>
    </xf>
    <xf borderId="24" fillId="0" fontId="0" numFmtId="0" xfId="0" applyAlignment="1" applyBorder="1" applyFont="1">
      <alignment vertical="center"/>
    </xf>
    <xf borderId="25" fillId="0" fontId="0" numFmtId="0" xfId="0" applyAlignment="1" applyBorder="1" applyFont="1">
      <alignment vertical="center"/>
    </xf>
    <xf borderId="26" fillId="0" fontId="0" numFmtId="0" xfId="0" applyAlignment="1" applyBorder="1" applyFont="1">
      <alignment horizontal="center" vertical="center"/>
    </xf>
    <xf borderId="27" fillId="0" fontId="0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9" fillId="2" fontId="2" numFmtId="0" xfId="0" applyAlignment="1" applyBorder="1" applyFont="1">
      <alignment vertical="center"/>
    </xf>
    <xf borderId="30" fillId="0" fontId="0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31" fillId="0" fontId="0" numFmtId="0" xfId="0" applyAlignment="1" applyBorder="1" applyFont="1">
      <alignment vertical="center"/>
    </xf>
    <xf borderId="32" fillId="0" fontId="0" numFmtId="0" xfId="0" applyAlignment="1" applyBorder="1" applyFont="1">
      <alignment vertical="center"/>
    </xf>
    <xf borderId="33" fillId="0" fontId="0" numFmtId="0" xfId="0" applyAlignment="1" applyBorder="1" applyFont="1">
      <alignment vertical="center"/>
    </xf>
    <xf borderId="34" fillId="0" fontId="0" numFmtId="0" xfId="0" applyAlignment="1" applyBorder="1" applyFont="1">
      <alignment horizontal="center" vertical="center"/>
    </xf>
    <xf borderId="35" fillId="0" fontId="0" numFmtId="0" xfId="0" applyAlignment="1" applyBorder="1" applyFont="1">
      <alignment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36" fillId="0" fontId="1" numFmtId="0" xfId="0" applyAlignment="1" applyBorder="1" applyFont="1">
      <alignment vertical="center"/>
    </xf>
    <xf borderId="37" fillId="0" fontId="0" numFmtId="0" xfId="0" applyAlignment="1" applyBorder="1" applyFont="1">
      <alignment vertical="center"/>
    </xf>
    <xf borderId="38" fillId="0" fontId="0" numFmtId="0" xfId="0" applyAlignment="1" applyBorder="1" applyFont="1">
      <alignment vertical="center"/>
    </xf>
    <xf borderId="39" fillId="0" fontId="0" numFmtId="0" xfId="0" applyAlignment="1" applyBorder="1" applyFont="1">
      <alignment vertical="center"/>
    </xf>
    <xf borderId="20" fillId="2" fontId="2" numFmtId="0" xfId="0" applyAlignment="1" applyBorder="1" applyFont="1">
      <alignment vertical="center"/>
    </xf>
    <xf borderId="22" fillId="0" fontId="0" numFmtId="0" xfId="0" applyAlignment="1" applyBorder="1" applyFont="1">
      <alignment vertical="center"/>
    </xf>
    <xf borderId="40" fillId="0" fontId="0" numFmtId="0" xfId="0" applyAlignment="1" applyBorder="1" applyFont="1">
      <alignment vertical="center"/>
    </xf>
    <xf borderId="41" fillId="0" fontId="0" numFmtId="0" xfId="0" applyAlignment="1" applyBorder="1" applyFont="1">
      <alignment vertical="center"/>
    </xf>
    <xf borderId="20" fillId="0" fontId="0" numFmtId="0" xfId="0" applyAlignment="1" applyBorder="1" applyFont="1">
      <alignment vertical="center"/>
    </xf>
    <xf borderId="42" fillId="0" fontId="0" numFmtId="0" xfId="0" applyAlignment="1" applyBorder="1" applyFont="1">
      <alignment horizontal="center" vertical="center"/>
    </xf>
    <xf borderId="43" fillId="0" fontId="0" numFmtId="0" xfId="0" applyAlignment="1" applyBorder="1" applyFont="1">
      <alignment horizontal="center" vertical="center"/>
    </xf>
    <xf borderId="44" fillId="0" fontId="0" numFmtId="0" xfId="0" applyAlignment="1" applyBorder="1" applyFont="1">
      <alignment horizontal="center" vertical="center"/>
    </xf>
    <xf borderId="19" fillId="0" fontId="0" numFmtId="0" xfId="0" applyAlignment="1" applyBorder="1" applyFont="1">
      <alignment horizontal="center" vertical="center"/>
    </xf>
    <xf borderId="45" fillId="0" fontId="0" numFmtId="0" xfId="0" applyAlignment="1" applyBorder="1" applyFont="1">
      <alignment horizontal="center" vertical="center"/>
    </xf>
    <xf borderId="30" fillId="0" fontId="0" numFmtId="0" xfId="0" applyAlignment="1" applyBorder="1" applyFont="1">
      <alignment horizontal="center" vertical="center"/>
    </xf>
    <xf borderId="46" fillId="0" fontId="0" numFmtId="0" xfId="0" applyAlignment="1" applyBorder="1" applyFont="1">
      <alignment horizontal="center" vertical="center"/>
    </xf>
    <xf borderId="8" fillId="0" fontId="0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5" fillId="0" fontId="0" numFmtId="0" xfId="0" applyAlignment="1" applyBorder="1" applyFont="1">
      <alignment vertical="center"/>
    </xf>
    <xf borderId="5" fillId="0" fontId="0" numFmtId="0" xfId="0" applyBorder="1" applyFont="1"/>
    <xf borderId="47" fillId="0" fontId="1" numFmtId="0" xfId="0" applyAlignment="1" applyBorder="1" applyFont="1">
      <alignment horizontal="center" vertical="center"/>
    </xf>
    <xf borderId="48" fillId="0" fontId="5" numFmtId="0" xfId="0" applyBorder="1" applyFont="1"/>
    <xf borderId="49" fillId="0" fontId="5" numFmtId="0" xfId="0" applyBorder="1" applyFont="1"/>
    <xf borderId="50" fillId="0" fontId="0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right" vertical="center"/>
    </xf>
    <xf borderId="11" fillId="0" fontId="1" numFmtId="0" xfId="0" applyAlignment="1" applyBorder="1" applyFont="1">
      <alignment horizontal="right" vertical="center"/>
    </xf>
    <xf borderId="18" fillId="0" fontId="0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29" fillId="0" fontId="4" numFmtId="0" xfId="0" applyAlignment="1" applyBorder="1" applyFont="1">
      <alignment horizontal="center" vertical="center"/>
    </xf>
    <xf borderId="51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1.71"/>
    <col customWidth="1" min="3" max="3" width="13.14"/>
    <col customWidth="1" hidden="1" min="4" max="4" width="5.71"/>
    <col customWidth="1" min="5" max="5" width="8.71"/>
    <col customWidth="1" min="6" max="6" width="5.0"/>
    <col customWidth="1" min="7" max="7" width="2.71"/>
    <col customWidth="1" min="8" max="8" width="19.43"/>
    <col customWidth="1" min="9" max="9" width="19.29"/>
    <col customWidth="1" min="10" max="10" width="2.71"/>
    <col customWidth="1" min="11" max="11" width="12.0"/>
    <col customWidth="1" min="12" max="12" width="15.29"/>
    <col customWidth="1" min="13" max="13" width="6.57"/>
    <col customWidth="1" min="14" max="14" width="2.71"/>
    <col customWidth="1" min="15" max="15" width="11.57"/>
    <col customWidth="1" min="16" max="16" width="15.29"/>
    <col customWidth="1" min="17" max="17" width="6.57"/>
    <col customWidth="1" min="18" max="18" width="2.71"/>
    <col customWidth="1" min="19" max="19" width="15.71"/>
    <col customWidth="1" min="20" max="20" width="15.57"/>
    <col customWidth="1" min="21" max="21" width="4.71"/>
    <col customWidth="1" min="22" max="22" width="2.71"/>
    <col customWidth="1" min="23" max="23" width="10.57"/>
    <col customWidth="1" min="24" max="24" width="15.57"/>
    <col customWidth="1" min="25" max="25" width="6.0"/>
    <col customWidth="1" min="26" max="40" width="4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 t="s">
        <v>0</v>
      </c>
      <c r="C2" s="3" t="s">
        <v>1</v>
      </c>
      <c r="D2" s="3"/>
      <c r="E2" s="4" t="s">
        <v>2</v>
      </c>
      <c r="F2" s="5" t="s">
        <v>3</v>
      </c>
      <c r="G2" s="1"/>
      <c r="H2" s="6" t="s">
        <v>4</v>
      </c>
      <c r="I2" s="7">
        <v>0.0</v>
      </c>
      <c r="J2" s="1"/>
      <c r="K2" s="8" t="s">
        <v>5</v>
      </c>
      <c r="L2" s="2" t="s">
        <v>6</v>
      </c>
      <c r="M2" s="9" t="s">
        <v>7</v>
      </c>
      <c r="N2" s="1"/>
      <c r="O2" s="8" t="s">
        <v>8</v>
      </c>
      <c r="P2" s="2" t="s">
        <v>6</v>
      </c>
      <c r="Q2" s="9" t="s">
        <v>7</v>
      </c>
      <c r="R2" s="1"/>
      <c r="S2" s="10" t="s">
        <v>9</v>
      </c>
      <c r="T2" s="11" t="s">
        <v>9</v>
      </c>
      <c r="U2" s="12">
        <v>0.0</v>
      </c>
      <c r="V2" s="13"/>
      <c r="W2" s="13"/>
      <c r="X2" s="13"/>
      <c r="Y2" s="13"/>
      <c r="Z2" s="14" t="s">
        <v>10</v>
      </c>
      <c r="AA2" s="15"/>
      <c r="AB2" s="16"/>
      <c r="AC2" s="14" t="s">
        <v>11</v>
      </c>
      <c r="AD2" s="15"/>
      <c r="AE2" s="16"/>
      <c r="AF2" s="14" t="s">
        <v>12</v>
      </c>
      <c r="AG2" s="15"/>
      <c r="AH2" s="16"/>
      <c r="AI2" s="14" t="s">
        <v>13</v>
      </c>
      <c r="AJ2" s="15"/>
      <c r="AK2" s="16"/>
      <c r="AL2" s="14" t="s">
        <v>14</v>
      </c>
      <c r="AM2" s="15"/>
      <c r="AN2" s="16"/>
    </row>
    <row r="3">
      <c r="A3" s="1"/>
      <c r="B3" s="17" t="s">
        <v>15</v>
      </c>
      <c r="C3" s="18" t="s">
        <v>10</v>
      </c>
      <c r="D3" s="18">
        <f t="shared" ref="D3:D40" si="1">IF(C3="Simple",1,IF(C3="Basic",2,IF(C3="Intermediate",3,IF(C3="Advanced",4,IF(C3="Master",5,"")))))</f>
        <v>1</v>
      </c>
      <c r="E3" s="19" t="str">
        <f>VLOOKUP(B3,[1]!Magic_Structure,2,FALSE)</f>
        <v>#ERROR!</v>
      </c>
      <c r="F3" s="20">
        <v>0.0</v>
      </c>
      <c r="G3" s="1"/>
      <c r="H3" s="6" t="s">
        <v>16</v>
      </c>
      <c r="I3" s="7">
        <v>0.0</v>
      </c>
      <c r="J3" s="21"/>
      <c r="K3" s="22" t="s">
        <v>17</v>
      </c>
      <c r="L3" s="23" t="s">
        <v>9</v>
      </c>
      <c r="M3" s="24">
        <f>VLOOKUP(L3, PointList, 2, FALSE)</f>
        <v>0</v>
      </c>
      <c r="N3" s="1"/>
      <c r="O3" s="22" t="s">
        <v>17</v>
      </c>
      <c r="P3" s="23" t="s">
        <v>9</v>
      </c>
      <c r="Q3" s="24">
        <f>VLOOKUP(P3, PointList, 2, FALSE)</f>
        <v>0</v>
      </c>
      <c r="R3" s="1"/>
      <c r="S3" s="25" t="s">
        <v>18</v>
      </c>
      <c r="T3" s="26" t="s">
        <v>19</v>
      </c>
      <c r="U3" s="27" t="str">
        <f>VLOOKUP(T3,X4:Y136,2,FALSE)</f>
        <v>#ERROR!</v>
      </c>
      <c r="V3" s="13"/>
      <c r="W3" s="13"/>
      <c r="X3" s="13"/>
      <c r="Y3" s="13"/>
      <c r="Z3" s="28">
        <v>1.0</v>
      </c>
      <c r="AA3" s="29">
        <v>2.0</v>
      </c>
      <c r="AB3" s="30">
        <v>3.0</v>
      </c>
      <c r="AC3" s="28">
        <v>4.0</v>
      </c>
      <c r="AD3" s="29">
        <v>6.0</v>
      </c>
      <c r="AE3" s="30">
        <v>8.0</v>
      </c>
      <c r="AF3" s="28">
        <v>10.0</v>
      </c>
      <c r="AG3" s="29">
        <v>15.0</v>
      </c>
      <c r="AH3" s="30">
        <v>20.0</v>
      </c>
      <c r="AI3" s="28">
        <v>25.0</v>
      </c>
      <c r="AJ3" s="29">
        <v>35.0</v>
      </c>
      <c r="AK3" s="30">
        <v>45.0</v>
      </c>
      <c r="AL3" s="28">
        <v>60.0</v>
      </c>
      <c r="AM3" s="29">
        <v>80.0</v>
      </c>
      <c r="AN3" s="30">
        <v>100.0</v>
      </c>
    </row>
    <row r="4">
      <c r="A4" s="1"/>
      <c r="B4" s="31" t="s">
        <v>20</v>
      </c>
      <c r="C4" s="32" t="s">
        <v>12</v>
      </c>
      <c r="D4" s="33">
        <f t="shared" si="1"/>
        <v>3</v>
      </c>
      <c r="E4" s="34" t="str">
        <f>VLOOKUP(B4,[1]!Magic_Structure,2,FALSE)</f>
        <v>#ERROR!</v>
      </c>
      <c r="F4" s="35">
        <f>I2*L4</f>
        <v>0</v>
      </c>
      <c r="G4" s="1"/>
      <c r="H4" s="6" t="s">
        <v>21</v>
      </c>
      <c r="I4" s="7">
        <v>1.0</v>
      </c>
      <c r="J4" s="21"/>
      <c r="K4" s="36" t="s">
        <v>22</v>
      </c>
      <c r="L4" s="37">
        <v>1.0</v>
      </c>
      <c r="M4" s="38">
        <f>L4*M3</f>
        <v>0</v>
      </c>
      <c r="N4" s="1"/>
      <c r="O4" s="36" t="s">
        <v>22</v>
      </c>
      <c r="P4" s="37">
        <v>1.0</v>
      </c>
      <c r="Q4" s="38">
        <f>P4*Q3</f>
        <v>0</v>
      </c>
      <c r="R4" s="1"/>
      <c r="S4" s="25" t="s">
        <v>18</v>
      </c>
      <c r="T4" s="26" t="s">
        <v>23</v>
      </c>
      <c r="U4" s="27" t="str">
        <f>VLOOKUP(T4,X4:Y136,2,FALSE)</f>
        <v>#ERROR!</v>
      </c>
      <c r="V4" s="13"/>
      <c r="W4" s="10" t="s">
        <v>18</v>
      </c>
      <c r="X4" s="11" t="s">
        <v>23</v>
      </c>
      <c r="Y4" s="39" t="str">
        <f>VLOOKUP(X4,[1]!Magic_Energies,2,FALSE)</f>
        <v>#ERROR!</v>
      </c>
      <c r="Z4" s="40" t="str">
        <f t="shared" ref="Z4:AB4" si="2">IF($Y4=Z$3,"S","")</f>
        <v>#ERROR!</v>
      </c>
      <c r="AA4" s="41" t="str">
        <f t="shared" si="2"/>
        <v>#ERROR!</v>
      </c>
      <c r="AB4" s="42" t="str">
        <f t="shared" si="2"/>
        <v>#ERROR!</v>
      </c>
      <c r="AC4" s="40" t="str">
        <f t="shared" ref="AC4:AE4" si="3">IF($Y4=AC$3,"B","")</f>
        <v>#ERROR!</v>
      </c>
      <c r="AD4" s="41" t="str">
        <f t="shared" si="3"/>
        <v>#ERROR!</v>
      </c>
      <c r="AE4" s="42" t="str">
        <f t="shared" si="3"/>
        <v>#ERROR!</v>
      </c>
      <c r="AF4" s="40" t="str">
        <f t="shared" ref="AF4:AH4" si="4">IF($Y4=AF$3,"I","")</f>
        <v>#ERROR!</v>
      </c>
      <c r="AG4" s="41" t="str">
        <f t="shared" si="4"/>
        <v>#ERROR!</v>
      </c>
      <c r="AH4" s="42" t="str">
        <f t="shared" si="4"/>
        <v>#ERROR!</v>
      </c>
      <c r="AI4" s="40" t="str">
        <f t="shared" ref="AI4:AK4" si="5">IF($Y4=AI$3,"A","")</f>
        <v>#ERROR!</v>
      </c>
      <c r="AJ4" s="41" t="str">
        <f t="shared" si="5"/>
        <v>#ERROR!</v>
      </c>
      <c r="AK4" s="42" t="str">
        <f t="shared" si="5"/>
        <v>#ERROR!</v>
      </c>
      <c r="AL4" s="40" t="str">
        <f t="shared" ref="AL4:AN4" si="6">IF($Y4=AL$3,"M","")</f>
        <v>#ERROR!</v>
      </c>
      <c r="AM4" s="41" t="str">
        <f t="shared" si="6"/>
        <v>#ERROR!</v>
      </c>
      <c r="AN4" s="42" t="str">
        <f t="shared" si="6"/>
        <v>#ERROR!</v>
      </c>
    </row>
    <row r="5">
      <c r="A5" s="1"/>
      <c r="B5" s="43" t="s">
        <v>24</v>
      </c>
      <c r="C5" s="44" t="s">
        <v>14</v>
      </c>
      <c r="D5" s="45">
        <f t="shared" si="1"/>
        <v>5</v>
      </c>
      <c r="E5" s="46" t="str">
        <f>VLOOKUP(B5,[1]!Magic_Structure,2,FALSE)</f>
        <v>#ERROR!</v>
      </c>
      <c r="F5" s="47">
        <f>2*F4</f>
        <v>0</v>
      </c>
      <c r="G5" s="1"/>
      <c r="H5" s="6" t="s">
        <v>25</v>
      </c>
      <c r="I5" s="7">
        <v>1.0</v>
      </c>
      <c r="J5" s="21"/>
      <c r="K5" s="22" t="s">
        <v>0</v>
      </c>
      <c r="L5" s="23" t="s">
        <v>15</v>
      </c>
      <c r="M5" s="24">
        <f>VLOOKUP(L5, B3:F5, 5, FALSE)</f>
        <v>0</v>
      </c>
      <c r="N5" s="1"/>
      <c r="O5" s="22" t="s">
        <v>0</v>
      </c>
      <c r="P5" s="23" t="s">
        <v>15</v>
      </c>
      <c r="Q5" s="24">
        <f>VLOOKUP(P5, B3:F5, 5, FALSE)</f>
        <v>0</v>
      </c>
      <c r="R5" s="1"/>
      <c r="S5" s="25" t="s">
        <v>26</v>
      </c>
      <c r="T5" s="26" t="s">
        <v>27</v>
      </c>
      <c r="U5" s="27" t="str">
        <f>VLOOKUP(T5,X4:Y136,2,FALSE)</f>
        <v>#ERROR!</v>
      </c>
      <c r="V5" s="13"/>
      <c r="W5" s="25" t="s">
        <v>26</v>
      </c>
      <c r="X5" s="26" t="s">
        <v>27</v>
      </c>
      <c r="Y5" s="27" t="str">
        <f>VLOOKUP(X5,[1]!Magic_Energies,2,FALSE)</f>
        <v>#ERROR!</v>
      </c>
      <c r="Z5" s="48" t="str">
        <f t="shared" ref="Z5:AB5" si="7">IF($Y5=Z$3,"S","")</f>
        <v>#ERROR!</v>
      </c>
      <c r="AA5" s="49" t="str">
        <f t="shared" si="7"/>
        <v>#ERROR!</v>
      </c>
      <c r="AB5" s="50" t="str">
        <f t="shared" si="7"/>
        <v>#ERROR!</v>
      </c>
      <c r="AC5" s="48" t="str">
        <f t="shared" ref="AC5:AE5" si="8">IF($Y5=AC$3,"B","")</f>
        <v>#ERROR!</v>
      </c>
      <c r="AD5" s="49" t="str">
        <f t="shared" si="8"/>
        <v>#ERROR!</v>
      </c>
      <c r="AE5" s="50" t="str">
        <f t="shared" si="8"/>
        <v>#ERROR!</v>
      </c>
      <c r="AF5" s="48" t="str">
        <f t="shared" ref="AF5:AH5" si="9">IF($Y5=AF$3,"I","")</f>
        <v>#ERROR!</v>
      </c>
      <c r="AG5" s="49" t="str">
        <f t="shared" si="9"/>
        <v>#ERROR!</v>
      </c>
      <c r="AH5" s="50" t="str">
        <f t="shared" si="9"/>
        <v>#ERROR!</v>
      </c>
      <c r="AI5" s="48" t="str">
        <f t="shared" ref="AI5:AK5" si="10">IF($Y5=AI$3,"A","")</f>
        <v>#ERROR!</v>
      </c>
      <c r="AJ5" s="49" t="str">
        <f t="shared" si="10"/>
        <v>#ERROR!</v>
      </c>
      <c r="AK5" s="50" t="str">
        <f t="shared" si="10"/>
        <v>#ERROR!</v>
      </c>
      <c r="AL5" s="48" t="str">
        <f t="shared" ref="AL5:AN5" si="11">IF($Y5=AL$3,"M","")</f>
        <v>#ERROR!</v>
      </c>
      <c r="AM5" s="49" t="str">
        <f t="shared" si="11"/>
        <v>#ERROR!</v>
      </c>
      <c r="AN5" s="50" t="str">
        <f t="shared" si="11"/>
        <v>#ERROR!</v>
      </c>
    </row>
    <row r="6">
      <c r="A6" s="1"/>
      <c r="B6" s="51" t="s">
        <v>28</v>
      </c>
      <c r="C6" s="52" t="s">
        <v>1</v>
      </c>
      <c r="D6" s="52" t="str">
        <f t="shared" si="1"/>
        <v/>
      </c>
      <c r="E6" s="53" t="s">
        <v>2</v>
      </c>
      <c r="F6" s="54" t="s">
        <v>3</v>
      </c>
      <c r="G6" s="1"/>
      <c r="H6" s="6" t="s">
        <v>29</v>
      </c>
      <c r="I6" s="7">
        <v>5.0</v>
      </c>
      <c r="J6" s="1"/>
      <c r="K6" s="22" t="s">
        <v>28</v>
      </c>
      <c r="L6" s="23" t="s">
        <v>30</v>
      </c>
      <c r="M6" s="24">
        <f>VLOOKUP(L6, B7:F11, 5, FALSE)</f>
        <v>0</v>
      </c>
      <c r="N6" s="1"/>
      <c r="O6" s="22" t="s">
        <v>28</v>
      </c>
      <c r="P6" s="23" t="s">
        <v>30</v>
      </c>
      <c r="Q6" s="24">
        <f>VLOOKUP(P6, B7:F11, 5, FALSE)</f>
        <v>0</v>
      </c>
      <c r="R6" s="1"/>
      <c r="S6" s="25" t="s">
        <v>26</v>
      </c>
      <c r="T6" s="26" t="s">
        <v>31</v>
      </c>
      <c r="U6" s="27" t="str">
        <f>VLOOKUP(T6,X4:Y136,2,FALSE)</f>
        <v>#ERROR!</v>
      </c>
      <c r="V6" s="13"/>
      <c r="W6" s="25" t="s">
        <v>26</v>
      </c>
      <c r="X6" s="26" t="s">
        <v>32</v>
      </c>
      <c r="Y6" s="27" t="str">
        <f>VLOOKUP(X6,[1]!Magic_Energies,2,FALSE)</f>
        <v>#ERROR!</v>
      </c>
      <c r="Z6" s="48" t="str">
        <f t="shared" ref="Z6:AB6" si="12">IF($Y6=Z$3,"S","")</f>
        <v>#ERROR!</v>
      </c>
      <c r="AA6" s="49" t="str">
        <f t="shared" si="12"/>
        <v>#ERROR!</v>
      </c>
      <c r="AB6" s="50" t="str">
        <f t="shared" si="12"/>
        <v>#ERROR!</v>
      </c>
      <c r="AC6" s="48" t="str">
        <f t="shared" ref="AC6:AE6" si="13">IF($Y6=AC$3,"B","")</f>
        <v>#ERROR!</v>
      </c>
      <c r="AD6" s="49" t="str">
        <f t="shared" si="13"/>
        <v>#ERROR!</v>
      </c>
      <c r="AE6" s="50" t="str">
        <f t="shared" si="13"/>
        <v>#ERROR!</v>
      </c>
      <c r="AF6" s="48" t="str">
        <f t="shared" ref="AF6:AH6" si="14">IF($Y6=AF$3,"I","")</f>
        <v>#ERROR!</v>
      </c>
      <c r="AG6" s="49" t="str">
        <f t="shared" si="14"/>
        <v>#ERROR!</v>
      </c>
      <c r="AH6" s="50" t="str">
        <f t="shared" si="14"/>
        <v>#ERROR!</v>
      </c>
      <c r="AI6" s="48" t="str">
        <f t="shared" ref="AI6:AK6" si="15">IF($Y6=AI$3,"A","")</f>
        <v>#ERROR!</v>
      </c>
      <c r="AJ6" s="49" t="str">
        <f t="shared" si="15"/>
        <v>#ERROR!</v>
      </c>
      <c r="AK6" s="50" t="str">
        <f t="shared" si="15"/>
        <v>#ERROR!</v>
      </c>
      <c r="AL6" s="48" t="str">
        <f t="shared" ref="AL6:AN6" si="16">IF($Y6=AL$3,"M","")</f>
        <v>#ERROR!</v>
      </c>
      <c r="AM6" s="49" t="str">
        <f t="shared" si="16"/>
        <v>#ERROR!</v>
      </c>
      <c r="AN6" s="50" t="str">
        <f t="shared" si="16"/>
        <v>#ERROR!</v>
      </c>
    </row>
    <row r="7">
      <c r="A7" s="1"/>
      <c r="B7" s="17" t="s">
        <v>30</v>
      </c>
      <c r="C7" s="18" t="s">
        <v>10</v>
      </c>
      <c r="D7" s="18">
        <f t="shared" si="1"/>
        <v>1</v>
      </c>
      <c r="E7" s="19" t="str">
        <f>VLOOKUP(B7,[1]!Magic_Structure,2,FALSE)</f>
        <v>#ERROR!</v>
      </c>
      <c r="F7" s="20">
        <f>0</f>
        <v>0</v>
      </c>
      <c r="G7" s="1"/>
      <c r="H7" s="6" t="s">
        <v>33</v>
      </c>
      <c r="I7" s="7">
        <f>IF(MOD(I6,5)&gt;=3,ROUND(I6/5,0)*5,I6-MOD(I6,5))</f>
        <v>5</v>
      </c>
      <c r="J7" s="1"/>
      <c r="K7" s="6" t="s">
        <v>34</v>
      </c>
      <c r="L7" s="55" t="s">
        <v>35</v>
      </c>
      <c r="M7" s="56">
        <f>VLOOKUP(L7,B13:F27, 5, FALSE)</f>
        <v>0</v>
      </c>
      <c r="N7" s="1"/>
      <c r="O7" s="6" t="s">
        <v>34</v>
      </c>
      <c r="P7" s="55" t="s">
        <v>35</v>
      </c>
      <c r="Q7" s="56">
        <f>VLOOKUP(P7,B13:F27, 5, FALSE)</f>
        <v>0</v>
      </c>
      <c r="R7" s="1"/>
      <c r="S7" s="25" t="s">
        <v>26</v>
      </c>
      <c r="T7" s="26" t="s">
        <v>36</v>
      </c>
      <c r="U7" s="27" t="str">
        <f>VLOOKUP(T7,X4:Y136,2,FALSE)</f>
        <v>#ERROR!</v>
      </c>
      <c r="V7" s="13"/>
      <c r="W7" s="25" t="s">
        <v>26</v>
      </c>
      <c r="X7" s="26" t="s">
        <v>37</v>
      </c>
      <c r="Y7" s="27" t="str">
        <f>VLOOKUP(X7,[1]!Magic_Energies,2,FALSE)</f>
        <v>#ERROR!</v>
      </c>
      <c r="Z7" s="48" t="str">
        <f t="shared" ref="Z7:AB7" si="17">IF($Y7=Z$3,"S","")</f>
        <v>#ERROR!</v>
      </c>
      <c r="AA7" s="49" t="str">
        <f t="shared" si="17"/>
        <v>#ERROR!</v>
      </c>
      <c r="AB7" s="50" t="str">
        <f t="shared" si="17"/>
        <v>#ERROR!</v>
      </c>
      <c r="AC7" s="48" t="str">
        <f t="shared" ref="AC7:AE7" si="18">IF($Y7=AC$3,"B","")</f>
        <v>#ERROR!</v>
      </c>
      <c r="AD7" s="49" t="str">
        <f t="shared" si="18"/>
        <v>#ERROR!</v>
      </c>
      <c r="AE7" s="50" t="str">
        <f t="shared" si="18"/>
        <v>#ERROR!</v>
      </c>
      <c r="AF7" s="48" t="str">
        <f t="shared" ref="AF7:AH7" si="19">IF($Y7=AF$3,"I","")</f>
        <v>#ERROR!</v>
      </c>
      <c r="AG7" s="49" t="str">
        <f t="shared" si="19"/>
        <v>#ERROR!</v>
      </c>
      <c r="AH7" s="50" t="str">
        <f t="shared" si="19"/>
        <v>#ERROR!</v>
      </c>
      <c r="AI7" s="48" t="str">
        <f t="shared" ref="AI7:AK7" si="20">IF($Y7=AI$3,"A","")</f>
        <v>#ERROR!</v>
      </c>
      <c r="AJ7" s="49" t="str">
        <f t="shared" si="20"/>
        <v>#ERROR!</v>
      </c>
      <c r="AK7" s="50" t="str">
        <f t="shared" si="20"/>
        <v>#ERROR!</v>
      </c>
      <c r="AL7" s="48" t="str">
        <f t="shared" ref="AL7:AN7" si="21">IF($Y7=AL$3,"M","")</f>
        <v>#ERROR!</v>
      </c>
      <c r="AM7" s="49" t="str">
        <f t="shared" si="21"/>
        <v>#ERROR!</v>
      </c>
      <c r="AN7" s="50" t="str">
        <f t="shared" si="21"/>
        <v>#ERROR!</v>
      </c>
    </row>
    <row r="8">
      <c r="A8" s="1"/>
      <c r="B8" s="57" t="s">
        <v>38</v>
      </c>
      <c r="C8" s="33" t="s">
        <v>11</v>
      </c>
      <c r="D8" s="33">
        <f t="shared" si="1"/>
        <v>2</v>
      </c>
      <c r="E8" s="34" t="str">
        <f>VLOOKUP(B8,[1]!Magic_Structure,2,FALSE)</f>
        <v>#ERROR!</v>
      </c>
      <c r="F8" s="58">
        <f>2*MAX(IF(M3=0,0,M4/M3),IF(M12=0,0,M13/M12),IF(M21=0,0,M22/M21),IF(Q3=0,0,Q4/Q3),IF(Q12=0,0,Q13/Q12),IF(Q21=0,0,Q22/Q21))</f>
        <v>0</v>
      </c>
      <c r="G8" s="1"/>
      <c r="H8" s="1"/>
      <c r="I8" s="1"/>
      <c r="J8" s="1"/>
      <c r="K8" s="6" t="s">
        <v>39</v>
      </c>
      <c r="L8" s="55" t="s">
        <v>9</v>
      </c>
      <c r="M8" s="56">
        <f>VLOOKUP(L8, B29:F39, 5, FALSE)</f>
        <v>0</v>
      </c>
      <c r="N8" s="1"/>
      <c r="O8" s="6" t="s">
        <v>39</v>
      </c>
      <c r="P8" s="55" t="s">
        <v>9</v>
      </c>
      <c r="Q8" s="56">
        <f>VLOOKUP(P8, B29:F39, 5, FALSE)</f>
        <v>0</v>
      </c>
      <c r="R8" s="1"/>
      <c r="S8" s="25" t="s">
        <v>26</v>
      </c>
      <c r="T8" s="26" t="s">
        <v>40</v>
      </c>
      <c r="U8" s="27" t="str">
        <f>VLOOKUP(T8,X4:Y136,2,FALSE)</f>
        <v>#ERROR!</v>
      </c>
      <c r="V8" s="13"/>
      <c r="W8" s="25" t="s">
        <v>26</v>
      </c>
      <c r="X8" s="26" t="s">
        <v>41</v>
      </c>
      <c r="Y8" s="27" t="str">
        <f>VLOOKUP(X8,[1]!Magic_Energies,2,FALSE)</f>
        <v>#ERROR!</v>
      </c>
      <c r="Z8" s="48" t="str">
        <f t="shared" ref="Z8:AB8" si="22">IF($Y8=Z$3,"S","")</f>
        <v>#ERROR!</v>
      </c>
      <c r="AA8" s="49" t="str">
        <f t="shared" si="22"/>
        <v>#ERROR!</v>
      </c>
      <c r="AB8" s="50" t="str">
        <f t="shared" si="22"/>
        <v>#ERROR!</v>
      </c>
      <c r="AC8" s="48" t="str">
        <f t="shared" ref="AC8:AE8" si="23">IF($Y8=AC$3,"B","")</f>
        <v>#ERROR!</v>
      </c>
      <c r="AD8" s="49" t="str">
        <f t="shared" si="23"/>
        <v>#ERROR!</v>
      </c>
      <c r="AE8" s="50" t="str">
        <f t="shared" si="23"/>
        <v>#ERROR!</v>
      </c>
      <c r="AF8" s="48" t="str">
        <f t="shared" ref="AF8:AH8" si="24">IF($Y8=AF$3,"I","")</f>
        <v>#ERROR!</v>
      </c>
      <c r="AG8" s="49" t="str">
        <f t="shared" si="24"/>
        <v>#ERROR!</v>
      </c>
      <c r="AH8" s="50" t="str">
        <f t="shared" si="24"/>
        <v>#ERROR!</v>
      </c>
      <c r="AI8" s="48" t="str">
        <f t="shared" ref="AI8:AK8" si="25">IF($Y8=AI$3,"A","")</f>
        <v>#ERROR!</v>
      </c>
      <c r="AJ8" s="49" t="str">
        <f t="shared" si="25"/>
        <v>#ERROR!</v>
      </c>
      <c r="AK8" s="50" t="str">
        <f t="shared" si="25"/>
        <v>#ERROR!</v>
      </c>
      <c r="AL8" s="48" t="str">
        <f t="shared" ref="AL8:AN8" si="26">IF($Y8=AL$3,"M","")</f>
        <v>#ERROR!</v>
      </c>
      <c r="AM8" s="49" t="str">
        <f t="shared" si="26"/>
        <v>#ERROR!</v>
      </c>
      <c r="AN8" s="50" t="str">
        <f t="shared" si="26"/>
        <v>#ERROR!</v>
      </c>
    </row>
    <row r="9">
      <c r="A9" s="1"/>
      <c r="B9" s="31" t="s">
        <v>42</v>
      </c>
      <c r="C9" s="32" t="s">
        <v>12</v>
      </c>
      <c r="D9" s="33">
        <f t="shared" si="1"/>
        <v>3</v>
      </c>
      <c r="E9" s="34" t="str">
        <f>VLOOKUP(B9,[1]!Magic_Structure,2,FALSE)</f>
        <v>#ERROR!</v>
      </c>
      <c r="F9" s="35">
        <f>2*MAX(IF(M3=0,0,M4/M3),IF(M12=0,0,M13/M12),IF(M21=0,0,M22/M21),IF(Q3=0,0,Q4/Q3),IF(Q12=0,0,Q13/Q12),IF(Q21=0,0,Q22/Q21))</f>
        <v>0</v>
      </c>
      <c r="G9" s="1"/>
      <c r="H9" s="1"/>
      <c r="I9" s="1"/>
      <c r="J9" s="1"/>
      <c r="K9" s="1"/>
      <c r="L9" s="59" t="s">
        <v>43</v>
      </c>
      <c r="M9" s="56">
        <f>IF(L3="None", 0, SUM(M8,M7,M6,M5,M4))</f>
        <v>0</v>
      </c>
      <c r="N9" s="1"/>
      <c r="O9" s="1"/>
      <c r="P9" s="59" t="s">
        <v>43</v>
      </c>
      <c r="Q9" s="56">
        <f>IF(P3="None",0,SUM(Q8,Q7,Q6,Q5,Q4))</f>
        <v>0</v>
      </c>
      <c r="R9" s="1"/>
      <c r="S9" s="25" t="s">
        <v>26</v>
      </c>
      <c r="T9" s="26" t="s">
        <v>44</v>
      </c>
      <c r="U9" s="27" t="str">
        <f>VLOOKUP(T9,X4:Y136,2,FALSE)</f>
        <v>#ERROR!</v>
      </c>
      <c r="V9" s="13"/>
      <c r="W9" s="25" t="s">
        <v>18</v>
      </c>
      <c r="X9" s="26" t="s">
        <v>45</v>
      </c>
      <c r="Y9" s="27" t="str">
        <f>VLOOKUP(X9,[1]!Magic_Energies,2,FALSE)</f>
        <v>#ERROR!</v>
      </c>
      <c r="Z9" s="48" t="str">
        <f t="shared" ref="Z9:AB9" si="27">IF($Y9=Z$3,"S","")</f>
        <v>#ERROR!</v>
      </c>
      <c r="AA9" s="49" t="str">
        <f t="shared" si="27"/>
        <v>#ERROR!</v>
      </c>
      <c r="AB9" s="50" t="str">
        <f t="shared" si="27"/>
        <v>#ERROR!</v>
      </c>
      <c r="AC9" s="48" t="str">
        <f t="shared" ref="AC9:AE9" si="28">IF($Y9=AC$3,"B","")</f>
        <v>#ERROR!</v>
      </c>
      <c r="AD9" s="49" t="str">
        <f t="shared" si="28"/>
        <v>#ERROR!</v>
      </c>
      <c r="AE9" s="50" t="str">
        <f t="shared" si="28"/>
        <v>#ERROR!</v>
      </c>
      <c r="AF9" s="48" t="str">
        <f t="shared" ref="AF9:AH9" si="29">IF($Y9=AF$3,"I","")</f>
        <v>#ERROR!</v>
      </c>
      <c r="AG9" s="49" t="str">
        <f t="shared" si="29"/>
        <v>#ERROR!</v>
      </c>
      <c r="AH9" s="50" t="str">
        <f t="shared" si="29"/>
        <v>#ERROR!</v>
      </c>
      <c r="AI9" s="48" t="str">
        <f t="shared" ref="AI9:AK9" si="30">IF($Y9=AI$3,"A","")</f>
        <v>#ERROR!</v>
      </c>
      <c r="AJ9" s="49" t="str">
        <f t="shared" si="30"/>
        <v>#ERROR!</v>
      </c>
      <c r="AK9" s="50" t="str">
        <f t="shared" si="30"/>
        <v>#ERROR!</v>
      </c>
      <c r="AL9" s="48" t="str">
        <f t="shared" ref="AL9:AN9" si="31">IF($Y9=AL$3,"M","")</f>
        <v>#ERROR!</v>
      </c>
      <c r="AM9" s="49" t="str">
        <f t="shared" si="31"/>
        <v>#ERROR!</v>
      </c>
      <c r="AN9" s="50" t="str">
        <f t="shared" si="31"/>
        <v>#ERROR!</v>
      </c>
    </row>
    <row r="10">
      <c r="A10" s="1"/>
      <c r="B10" s="31" t="s">
        <v>46</v>
      </c>
      <c r="C10" s="32" t="s">
        <v>13</v>
      </c>
      <c r="D10" s="33">
        <f t="shared" si="1"/>
        <v>4</v>
      </c>
      <c r="E10" s="34" t="str">
        <f>VLOOKUP(B10,[1]!Magic_Structure,2,FALSE)</f>
        <v>#ERROR!</v>
      </c>
      <c r="F10" s="35">
        <f>MAX(5*I3,5*MAX(IF(M3=0,0,M4/M3),IF(M12=0,0,M13/M12),IF(M21=0,0,M22/M21),IF(Q3=0,0,Q4/Q3),IF(Q12=0,0,Q13/Q12),IF(Q21=0,0,Q22/Q21)))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25" t="s">
        <v>26</v>
      </c>
      <c r="T10" s="26" t="s">
        <v>47</v>
      </c>
      <c r="U10" s="27" t="str">
        <f>VLOOKUP(T10,X4:Y136,2,FALSE)</f>
        <v>#ERROR!</v>
      </c>
      <c r="V10" s="13"/>
      <c r="W10" s="25" t="s">
        <v>26</v>
      </c>
      <c r="X10" s="26" t="s">
        <v>48</v>
      </c>
      <c r="Y10" s="27" t="str">
        <f>VLOOKUP(X10,[1]!Magic_Energies,2,FALSE)</f>
        <v>#ERROR!</v>
      </c>
      <c r="Z10" s="48" t="str">
        <f t="shared" ref="Z10:AB10" si="32">IF($Y10=Z$3,"S","")</f>
        <v>#ERROR!</v>
      </c>
      <c r="AA10" s="49" t="str">
        <f t="shared" si="32"/>
        <v>#ERROR!</v>
      </c>
      <c r="AB10" s="50" t="str">
        <f t="shared" si="32"/>
        <v>#ERROR!</v>
      </c>
      <c r="AC10" s="48" t="str">
        <f t="shared" ref="AC10:AE10" si="33">IF($Y10=AC$3,"B","")</f>
        <v>#ERROR!</v>
      </c>
      <c r="AD10" s="49" t="str">
        <f t="shared" si="33"/>
        <v>#ERROR!</v>
      </c>
      <c r="AE10" s="50" t="str">
        <f t="shared" si="33"/>
        <v>#ERROR!</v>
      </c>
      <c r="AF10" s="48" t="str">
        <f t="shared" ref="AF10:AH10" si="34">IF($Y10=AF$3,"I","")</f>
        <v>#ERROR!</v>
      </c>
      <c r="AG10" s="49" t="str">
        <f t="shared" si="34"/>
        <v>#ERROR!</v>
      </c>
      <c r="AH10" s="50" t="str">
        <f t="shared" si="34"/>
        <v>#ERROR!</v>
      </c>
      <c r="AI10" s="48" t="str">
        <f t="shared" ref="AI10:AK10" si="35">IF($Y10=AI$3,"A","")</f>
        <v>#ERROR!</v>
      </c>
      <c r="AJ10" s="49" t="str">
        <f t="shared" si="35"/>
        <v>#ERROR!</v>
      </c>
      <c r="AK10" s="50" t="str">
        <f t="shared" si="35"/>
        <v>#ERROR!</v>
      </c>
      <c r="AL10" s="48" t="str">
        <f t="shared" ref="AL10:AN10" si="36">IF($Y10=AL$3,"M","")</f>
        <v>#ERROR!</v>
      </c>
      <c r="AM10" s="49" t="str">
        <f t="shared" si="36"/>
        <v>#ERROR!</v>
      </c>
      <c r="AN10" s="50" t="str">
        <f t="shared" si="36"/>
        <v>#ERROR!</v>
      </c>
    </row>
    <row r="11">
      <c r="A11" s="1"/>
      <c r="B11" s="43" t="s">
        <v>49</v>
      </c>
      <c r="C11" s="44" t="s">
        <v>14</v>
      </c>
      <c r="D11" s="45">
        <f t="shared" si="1"/>
        <v>5</v>
      </c>
      <c r="E11" s="46" t="str">
        <f>VLOOKUP(B11,[1]!Magic_Structure,2,FALSE)</f>
        <v>#ERROR!</v>
      </c>
      <c r="F11" s="47">
        <f>10*I3</f>
        <v>0</v>
      </c>
      <c r="G11" s="1"/>
      <c r="H11" s="1"/>
      <c r="I11" s="1"/>
      <c r="J11" s="1"/>
      <c r="K11" s="8" t="s">
        <v>50</v>
      </c>
      <c r="L11" s="2" t="s">
        <v>6</v>
      </c>
      <c r="M11" s="9" t="s">
        <v>7</v>
      </c>
      <c r="N11" s="1"/>
      <c r="O11" s="8" t="s">
        <v>51</v>
      </c>
      <c r="P11" s="2" t="s">
        <v>6</v>
      </c>
      <c r="Q11" s="9" t="s">
        <v>7</v>
      </c>
      <c r="R11" s="1"/>
      <c r="S11" s="25" t="s">
        <v>52</v>
      </c>
      <c r="T11" s="26" t="s">
        <v>53</v>
      </c>
      <c r="U11" s="27" t="str">
        <f>VLOOKUP(T11,X4:Y136,2,FALSE)</f>
        <v>#ERROR!</v>
      </c>
      <c r="V11" s="13"/>
      <c r="W11" s="25" t="s">
        <v>26</v>
      </c>
      <c r="X11" s="26" t="s">
        <v>54</v>
      </c>
      <c r="Y11" s="27" t="str">
        <f>VLOOKUP(X11,[1]!Magic_Energies,2,FALSE)</f>
        <v>#ERROR!</v>
      </c>
      <c r="Z11" s="48" t="str">
        <f t="shared" ref="Z11:AB11" si="37">IF($Y11=Z$3,"S","")</f>
        <v>#ERROR!</v>
      </c>
      <c r="AA11" s="49" t="str">
        <f t="shared" si="37"/>
        <v>#ERROR!</v>
      </c>
      <c r="AB11" s="50" t="str">
        <f t="shared" si="37"/>
        <v>#ERROR!</v>
      </c>
      <c r="AC11" s="48" t="str">
        <f t="shared" ref="AC11:AE11" si="38">IF($Y11=AC$3,"B","")</f>
        <v>#ERROR!</v>
      </c>
      <c r="AD11" s="49" t="str">
        <f t="shared" si="38"/>
        <v>#ERROR!</v>
      </c>
      <c r="AE11" s="50" t="str">
        <f t="shared" si="38"/>
        <v>#ERROR!</v>
      </c>
      <c r="AF11" s="48" t="str">
        <f t="shared" ref="AF11:AH11" si="39">IF($Y11=AF$3,"I","")</f>
        <v>#ERROR!</v>
      </c>
      <c r="AG11" s="49" t="str">
        <f t="shared" si="39"/>
        <v>#ERROR!</v>
      </c>
      <c r="AH11" s="50" t="str">
        <f t="shared" si="39"/>
        <v>#ERROR!</v>
      </c>
      <c r="AI11" s="48" t="str">
        <f t="shared" ref="AI11:AK11" si="40">IF($Y11=AI$3,"A","")</f>
        <v>#ERROR!</v>
      </c>
      <c r="AJ11" s="49" t="str">
        <f t="shared" si="40"/>
        <v>#ERROR!</v>
      </c>
      <c r="AK11" s="50" t="str">
        <f t="shared" si="40"/>
        <v>#ERROR!</v>
      </c>
      <c r="AL11" s="48" t="str">
        <f t="shared" ref="AL11:AN11" si="41">IF($Y11=AL$3,"M","")</f>
        <v>#ERROR!</v>
      </c>
      <c r="AM11" s="49" t="str">
        <f t="shared" si="41"/>
        <v>#ERROR!</v>
      </c>
      <c r="AN11" s="50" t="str">
        <f t="shared" si="41"/>
        <v>#ERROR!</v>
      </c>
    </row>
    <row r="12">
      <c r="A12" s="1"/>
      <c r="B12" s="51" t="s">
        <v>34</v>
      </c>
      <c r="C12" s="52" t="s">
        <v>1</v>
      </c>
      <c r="D12" s="52" t="str">
        <f t="shared" si="1"/>
        <v/>
      </c>
      <c r="E12" s="53" t="s">
        <v>2</v>
      </c>
      <c r="F12" s="54" t="s">
        <v>3</v>
      </c>
      <c r="G12" s="1"/>
      <c r="H12" s="14" t="s">
        <v>55</v>
      </c>
      <c r="I12" s="56" t="s">
        <v>56</v>
      </c>
      <c r="J12" s="1"/>
      <c r="K12" s="22" t="s">
        <v>17</v>
      </c>
      <c r="L12" s="23" t="s">
        <v>9</v>
      </c>
      <c r="M12" s="24">
        <f>VLOOKUP(L12, PointList, 2, FALSE)</f>
        <v>0</v>
      </c>
      <c r="N12" s="1"/>
      <c r="O12" s="22" t="s">
        <v>17</v>
      </c>
      <c r="P12" s="23" t="s">
        <v>9</v>
      </c>
      <c r="Q12" s="24">
        <f>VLOOKUP(P12, PointList, 2, FALSE)</f>
        <v>0</v>
      </c>
      <c r="R12" s="1"/>
      <c r="S12" s="25" t="s">
        <v>26</v>
      </c>
      <c r="T12" s="26" t="s">
        <v>32</v>
      </c>
      <c r="U12" s="27" t="str">
        <f>VLOOKUP(T12,X4:Y136,2,FALSE)</f>
        <v>#ERROR!</v>
      </c>
      <c r="V12" s="13"/>
      <c r="W12" s="25" t="s">
        <v>26</v>
      </c>
      <c r="X12" s="26" t="s">
        <v>57</v>
      </c>
      <c r="Y12" s="27" t="str">
        <f>VLOOKUP(X12,[1]!Magic_Energies,2,FALSE)</f>
        <v>#ERROR!</v>
      </c>
      <c r="Z12" s="48" t="str">
        <f t="shared" ref="Z12:AB12" si="42">IF($Y12=Z$3,"S","")</f>
        <v>#ERROR!</v>
      </c>
      <c r="AA12" s="49" t="str">
        <f t="shared" si="42"/>
        <v>#ERROR!</v>
      </c>
      <c r="AB12" s="50" t="str">
        <f t="shared" si="42"/>
        <v>#ERROR!</v>
      </c>
      <c r="AC12" s="48" t="str">
        <f t="shared" ref="AC12:AE12" si="43">IF($Y12=AC$3,"B","")</f>
        <v>#ERROR!</v>
      </c>
      <c r="AD12" s="49" t="str">
        <f t="shared" si="43"/>
        <v>#ERROR!</v>
      </c>
      <c r="AE12" s="50" t="str">
        <f t="shared" si="43"/>
        <v>#ERROR!</v>
      </c>
      <c r="AF12" s="48" t="str">
        <f t="shared" ref="AF12:AH12" si="44">IF($Y12=AF$3,"I","")</f>
        <v>#ERROR!</v>
      </c>
      <c r="AG12" s="49" t="str">
        <f t="shared" si="44"/>
        <v>#ERROR!</v>
      </c>
      <c r="AH12" s="50" t="str">
        <f t="shared" si="44"/>
        <v>#ERROR!</v>
      </c>
      <c r="AI12" s="48" t="str">
        <f t="shared" ref="AI12:AK12" si="45">IF($Y12=AI$3,"A","")</f>
        <v>#ERROR!</v>
      </c>
      <c r="AJ12" s="49" t="str">
        <f t="shared" si="45"/>
        <v>#ERROR!</v>
      </c>
      <c r="AK12" s="50" t="str">
        <f t="shared" si="45"/>
        <v>#ERROR!</v>
      </c>
      <c r="AL12" s="48" t="str">
        <f t="shared" ref="AL12:AN12" si="46">IF($Y12=AL$3,"M","")</f>
        <v>#ERROR!</v>
      </c>
      <c r="AM12" s="49" t="str">
        <f t="shared" si="46"/>
        <v>#ERROR!</v>
      </c>
      <c r="AN12" s="50" t="str">
        <f t="shared" si="46"/>
        <v>#ERROR!</v>
      </c>
    </row>
    <row r="13">
      <c r="A13" s="1"/>
      <c r="B13" s="17" t="s">
        <v>35</v>
      </c>
      <c r="C13" s="18" t="s">
        <v>10</v>
      </c>
      <c r="D13" s="18">
        <f t="shared" si="1"/>
        <v>1</v>
      </c>
      <c r="E13" s="19" t="str">
        <f>VLOOKUP(B13,[1]!Magic_Structure,2,FALSE)</f>
        <v>#ERROR!</v>
      </c>
      <c r="F13" s="20">
        <f>0</f>
        <v>0</v>
      </c>
      <c r="G13" s="1"/>
      <c r="H13" s="60" t="s">
        <v>58</v>
      </c>
      <c r="I13" s="61">
        <v>0.0</v>
      </c>
      <c r="J13" s="1"/>
      <c r="K13" s="36" t="s">
        <v>22</v>
      </c>
      <c r="L13" s="37">
        <v>1.0</v>
      </c>
      <c r="M13" s="38">
        <f>L13*M12</f>
        <v>0</v>
      </c>
      <c r="N13" s="1"/>
      <c r="O13" s="36" t="s">
        <v>22</v>
      </c>
      <c r="P13" s="37">
        <v>1.0</v>
      </c>
      <c r="Q13" s="38">
        <f>P13*Q12</f>
        <v>0</v>
      </c>
      <c r="R13" s="1"/>
      <c r="S13" s="25" t="s">
        <v>26</v>
      </c>
      <c r="T13" s="26" t="s">
        <v>59</v>
      </c>
      <c r="U13" s="27" t="str">
        <f>VLOOKUP(T13,X4:Y136,2,FALSE)</f>
        <v>#ERROR!</v>
      </c>
      <c r="V13" s="13"/>
      <c r="W13" s="25" t="s">
        <v>18</v>
      </c>
      <c r="X13" s="26" t="s">
        <v>60</v>
      </c>
      <c r="Y13" s="27" t="str">
        <f>VLOOKUP(X13,[1]!Magic_Energies,2,FALSE)</f>
        <v>#ERROR!</v>
      </c>
      <c r="Z13" s="48" t="str">
        <f t="shared" ref="Z13:AB13" si="47">IF($Y13=Z$3,"S","")</f>
        <v>#ERROR!</v>
      </c>
      <c r="AA13" s="49" t="str">
        <f t="shared" si="47"/>
        <v>#ERROR!</v>
      </c>
      <c r="AB13" s="50" t="str">
        <f t="shared" si="47"/>
        <v>#ERROR!</v>
      </c>
      <c r="AC13" s="48" t="str">
        <f t="shared" ref="AC13:AE13" si="48">IF($Y13=AC$3,"B","")</f>
        <v>#ERROR!</v>
      </c>
      <c r="AD13" s="49" t="str">
        <f t="shared" si="48"/>
        <v>#ERROR!</v>
      </c>
      <c r="AE13" s="50" t="str">
        <f t="shared" si="48"/>
        <v>#ERROR!</v>
      </c>
      <c r="AF13" s="48" t="str">
        <f t="shared" ref="AF13:AH13" si="49">IF($Y13=AF$3,"I","")</f>
        <v>#ERROR!</v>
      </c>
      <c r="AG13" s="49" t="str">
        <f t="shared" si="49"/>
        <v>#ERROR!</v>
      </c>
      <c r="AH13" s="50" t="str">
        <f t="shared" si="49"/>
        <v>#ERROR!</v>
      </c>
      <c r="AI13" s="48" t="str">
        <f t="shared" ref="AI13:AK13" si="50">IF($Y13=AI$3,"A","")</f>
        <v>#ERROR!</v>
      </c>
      <c r="AJ13" s="49" t="str">
        <f t="shared" si="50"/>
        <v>#ERROR!</v>
      </c>
      <c r="AK13" s="50" t="str">
        <f t="shared" si="50"/>
        <v>#ERROR!</v>
      </c>
      <c r="AL13" s="48" t="str">
        <f t="shared" ref="AL13:AN13" si="51">IF($Y13=AL$3,"M","")</f>
        <v>#ERROR!</v>
      </c>
      <c r="AM13" s="49" t="str">
        <f t="shared" si="51"/>
        <v>#ERROR!</v>
      </c>
      <c r="AN13" s="50" t="str">
        <f t="shared" si="51"/>
        <v>#ERROR!</v>
      </c>
    </row>
    <row r="14">
      <c r="A14" s="1"/>
      <c r="B14" s="31" t="s">
        <v>61</v>
      </c>
      <c r="C14" s="32" t="s">
        <v>10</v>
      </c>
      <c r="D14" s="33">
        <f t="shared" si="1"/>
        <v>1</v>
      </c>
      <c r="E14" s="34" t="str">
        <f>VLOOKUP(B14,[1]!Magic_Structure,2,FALSE)</f>
        <v>#ERROR!</v>
      </c>
      <c r="F14" s="35">
        <f>IF(I5&gt;1,I5,1)</f>
        <v>1</v>
      </c>
      <c r="G14" s="1"/>
      <c r="H14" s="62" t="s">
        <v>62</v>
      </c>
      <c r="I14" s="63">
        <f>$I$5*2*$I$6</f>
        <v>10</v>
      </c>
      <c r="J14" s="1"/>
      <c r="K14" s="22" t="s">
        <v>0</v>
      </c>
      <c r="L14" s="23" t="s">
        <v>15</v>
      </c>
      <c r="M14" s="24">
        <f>VLOOKUP(L14, B3:F5, 5, FALSE)</f>
        <v>0</v>
      </c>
      <c r="N14" s="1"/>
      <c r="O14" s="22" t="s">
        <v>0</v>
      </c>
      <c r="P14" s="23" t="s">
        <v>15</v>
      </c>
      <c r="Q14" s="24">
        <f>VLOOKUP(P14, B3:F5, 5, FALSE)</f>
        <v>0</v>
      </c>
      <c r="R14" s="1"/>
      <c r="S14" s="25" t="s">
        <v>26</v>
      </c>
      <c r="T14" s="26" t="s">
        <v>63</v>
      </c>
      <c r="U14" s="27" t="str">
        <f>VLOOKUP(T14,X4:Y136,2,FALSE)</f>
        <v>#ERROR!</v>
      </c>
      <c r="V14" s="13"/>
      <c r="W14" s="25" t="s">
        <v>26</v>
      </c>
      <c r="X14" s="26" t="s">
        <v>64</v>
      </c>
      <c r="Y14" s="27" t="str">
        <f>VLOOKUP(X14,[1]!Magic_Energies,2,FALSE)</f>
        <v>#ERROR!</v>
      </c>
      <c r="Z14" s="48" t="str">
        <f t="shared" ref="Z14:AB14" si="52">IF($Y14=Z$3,"S","")</f>
        <v>#ERROR!</v>
      </c>
      <c r="AA14" s="49" t="str">
        <f t="shared" si="52"/>
        <v>#ERROR!</v>
      </c>
      <c r="AB14" s="50" t="str">
        <f t="shared" si="52"/>
        <v>#ERROR!</v>
      </c>
      <c r="AC14" s="48" t="str">
        <f t="shared" ref="AC14:AE14" si="53">IF($Y14=AC$3,"B","")</f>
        <v>#ERROR!</v>
      </c>
      <c r="AD14" s="49" t="str">
        <f t="shared" si="53"/>
        <v>#ERROR!</v>
      </c>
      <c r="AE14" s="50" t="str">
        <f t="shared" si="53"/>
        <v>#ERROR!</v>
      </c>
      <c r="AF14" s="48" t="str">
        <f t="shared" ref="AF14:AH14" si="54">IF($Y14=AF$3,"I","")</f>
        <v>#ERROR!</v>
      </c>
      <c r="AG14" s="49" t="str">
        <f t="shared" si="54"/>
        <v>#ERROR!</v>
      </c>
      <c r="AH14" s="50" t="str">
        <f t="shared" si="54"/>
        <v>#ERROR!</v>
      </c>
      <c r="AI14" s="48" t="str">
        <f t="shared" ref="AI14:AK14" si="55">IF($Y14=AI$3,"A","")</f>
        <v>#ERROR!</v>
      </c>
      <c r="AJ14" s="49" t="str">
        <f t="shared" si="55"/>
        <v>#ERROR!</v>
      </c>
      <c r="AK14" s="50" t="str">
        <f t="shared" si="55"/>
        <v>#ERROR!</v>
      </c>
      <c r="AL14" s="48" t="str">
        <f t="shared" ref="AL14:AN14" si="56">IF($Y14=AL$3,"M","")</f>
        <v>#ERROR!</v>
      </c>
      <c r="AM14" s="49" t="str">
        <f t="shared" si="56"/>
        <v>#ERROR!</v>
      </c>
      <c r="AN14" s="50" t="str">
        <f t="shared" si="56"/>
        <v>#ERROR!</v>
      </c>
    </row>
    <row r="15">
      <c r="A15" s="1"/>
      <c r="B15" s="31" t="s">
        <v>65</v>
      </c>
      <c r="C15" s="32" t="s">
        <v>10</v>
      </c>
      <c r="D15" s="33">
        <f t="shared" si="1"/>
        <v>1</v>
      </c>
      <c r="E15" s="34" t="str">
        <f>VLOOKUP(B15,[1]!Magic_Structure,2,FALSE)</f>
        <v>#ERROR!</v>
      </c>
      <c r="F15" s="35">
        <f>IF(I5&gt;1,I5,1)*2</f>
        <v>2</v>
      </c>
      <c r="G15" s="1"/>
      <c r="H15" s="62" t="s">
        <v>66</v>
      </c>
      <c r="I15" s="63">
        <f>$I$5*5*$I$6</f>
        <v>25</v>
      </c>
      <c r="J15" s="1"/>
      <c r="K15" s="22" t="s">
        <v>28</v>
      </c>
      <c r="L15" s="23" t="s">
        <v>30</v>
      </c>
      <c r="M15" s="24">
        <f>VLOOKUP(L15, B7:F11, 5, FALSE)</f>
        <v>0</v>
      </c>
      <c r="N15" s="1"/>
      <c r="O15" s="22" t="s">
        <v>28</v>
      </c>
      <c r="P15" s="23" t="s">
        <v>30</v>
      </c>
      <c r="Q15" s="24">
        <f>VLOOKUP(P15, B7:F11, 5, FALSE)</f>
        <v>0</v>
      </c>
      <c r="R15" s="1"/>
      <c r="S15" s="25" t="s">
        <v>26</v>
      </c>
      <c r="T15" s="26" t="s">
        <v>67</v>
      </c>
      <c r="U15" s="27" t="str">
        <f>VLOOKUP(T15,X4:Y136,2,FALSE)</f>
        <v>#ERROR!</v>
      </c>
      <c r="V15" s="13"/>
      <c r="W15" s="25" t="s">
        <v>26</v>
      </c>
      <c r="X15" s="26" t="s">
        <v>68</v>
      </c>
      <c r="Y15" s="27" t="str">
        <f>VLOOKUP(X15,[1]!Magic_Energies,2,FALSE)</f>
        <v>#ERROR!</v>
      </c>
      <c r="Z15" s="48" t="str">
        <f t="shared" ref="Z15:AB15" si="57">IF($Y15=Z$3,"S","")</f>
        <v>#ERROR!</v>
      </c>
      <c r="AA15" s="49" t="str">
        <f t="shared" si="57"/>
        <v>#ERROR!</v>
      </c>
      <c r="AB15" s="50" t="str">
        <f t="shared" si="57"/>
        <v>#ERROR!</v>
      </c>
      <c r="AC15" s="48" t="str">
        <f t="shared" ref="AC15:AE15" si="58">IF($Y15=AC$3,"B","")</f>
        <v>#ERROR!</v>
      </c>
      <c r="AD15" s="49" t="str">
        <f t="shared" si="58"/>
        <v>#ERROR!</v>
      </c>
      <c r="AE15" s="50" t="str">
        <f t="shared" si="58"/>
        <v>#ERROR!</v>
      </c>
      <c r="AF15" s="48" t="str">
        <f t="shared" ref="AF15:AH15" si="59">IF($Y15=AF$3,"I","")</f>
        <v>#ERROR!</v>
      </c>
      <c r="AG15" s="49" t="str">
        <f t="shared" si="59"/>
        <v>#ERROR!</v>
      </c>
      <c r="AH15" s="50" t="str">
        <f t="shared" si="59"/>
        <v>#ERROR!</v>
      </c>
      <c r="AI15" s="48" t="str">
        <f t="shared" ref="AI15:AK15" si="60">IF($Y15=AI$3,"A","")</f>
        <v>#ERROR!</v>
      </c>
      <c r="AJ15" s="49" t="str">
        <f t="shared" si="60"/>
        <v>#ERROR!</v>
      </c>
      <c r="AK15" s="50" t="str">
        <f t="shared" si="60"/>
        <v>#ERROR!</v>
      </c>
      <c r="AL15" s="48" t="str">
        <f t="shared" ref="AL15:AN15" si="61">IF($Y15=AL$3,"M","")</f>
        <v>#ERROR!</v>
      </c>
      <c r="AM15" s="49" t="str">
        <f t="shared" si="61"/>
        <v>#ERROR!</v>
      </c>
      <c r="AN15" s="50" t="str">
        <f t="shared" si="61"/>
        <v>#ERROR!</v>
      </c>
    </row>
    <row r="16">
      <c r="A16" s="1"/>
      <c r="B16" s="31" t="s">
        <v>69</v>
      </c>
      <c r="C16" s="32" t="s">
        <v>11</v>
      </c>
      <c r="D16" s="33">
        <f t="shared" si="1"/>
        <v>2</v>
      </c>
      <c r="E16" s="34" t="str">
        <f>VLOOKUP(B16,[1]!Magic_Structure,2,FALSE)</f>
        <v>#ERROR!</v>
      </c>
      <c r="F16" s="35">
        <f>IF(I5&gt;1,I5,1)*3</f>
        <v>3</v>
      </c>
      <c r="G16" s="1"/>
      <c r="H16" s="62" t="s">
        <v>70</v>
      </c>
      <c r="I16" s="63">
        <f>$I$5*10*$I$6</f>
        <v>50</v>
      </c>
      <c r="J16" s="1"/>
      <c r="K16" s="6" t="s">
        <v>34</v>
      </c>
      <c r="L16" s="55" t="s">
        <v>35</v>
      </c>
      <c r="M16" s="56">
        <f>VLOOKUP(L16,B13:F27, 5, FALSE)</f>
        <v>0</v>
      </c>
      <c r="N16" s="1"/>
      <c r="O16" s="6" t="s">
        <v>34</v>
      </c>
      <c r="P16" s="55" t="s">
        <v>35</v>
      </c>
      <c r="Q16" s="56">
        <f>VLOOKUP(P16,B13:F27, 5, FALSE)</f>
        <v>0</v>
      </c>
      <c r="R16" s="1"/>
      <c r="S16" s="25" t="s">
        <v>18</v>
      </c>
      <c r="T16" s="26" t="s">
        <v>71</v>
      </c>
      <c r="U16" s="27" t="str">
        <f>VLOOKUP(T16,X4:Y136,2,FALSE)</f>
        <v>#ERROR!</v>
      </c>
      <c r="V16" s="13"/>
      <c r="W16" s="25" t="s">
        <v>26</v>
      </c>
      <c r="X16" s="26" t="s">
        <v>72</v>
      </c>
      <c r="Y16" s="27" t="str">
        <f>VLOOKUP(X16,[1]!Magic_Energies,2,FALSE)</f>
        <v>#ERROR!</v>
      </c>
      <c r="Z16" s="48" t="str">
        <f t="shared" ref="Z16:AB16" si="62">IF($Y16=Z$3,"S","")</f>
        <v>#ERROR!</v>
      </c>
      <c r="AA16" s="49" t="str">
        <f t="shared" si="62"/>
        <v>#ERROR!</v>
      </c>
      <c r="AB16" s="50" t="str">
        <f t="shared" si="62"/>
        <v>#ERROR!</v>
      </c>
      <c r="AC16" s="48" t="str">
        <f t="shared" ref="AC16:AE16" si="63">IF($Y16=AC$3,"B","")</f>
        <v>#ERROR!</v>
      </c>
      <c r="AD16" s="49" t="str">
        <f t="shared" si="63"/>
        <v>#ERROR!</v>
      </c>
      <c r="AE16" s="50" t="str">
        <f t="shared" si="63"/>
        <v>#ERROR!</v>
      </c>
      <c r="AF16" s="48" t="str">
        <f t="shared" ref="AF16:AH16" si="64">IF($Y16=AF$3,"I","")</f>
        <v>#ERROR!</v>
      </c>
      <c r="AG16" s="49" t="str">
        <f t="shared" si="64"/>
        <v>#ERROR!</v>
      </c>
      <c r="AH16" s="50" t="str">
        <f t="shared" si="64"/>
        <v>#ERROR!</v>
      </c>
      <c r="AI16" s="48" t="str">
        <f t="shared" ref="AI16:AK16" si="65">IF($Y16=AI$3,"A","")</f>
        <v>#ERROR!</v>
      </c>
      <c r="AJ16" s="49" t="str">
        <f t="shared" si="65"/>
        <v>#ERROR!</v>
      </c>
      <c r="AK16" s="50" t="str">
        <f t="shared" si="65"/>
        <v>#ERROR!</v>
      </c>
      <c r="AL16" s="48" t="str">
        <f t="shared" ref="AL16:AN16" si="66">IF($Y16=AL$3,"M","")</f>
        <v>#ERROR!</v>
      </c>
      <c r="AM16" s="49" t="str">
        <f t="shared" si="66"/>
        <v>#ERROR!</v>
      </c>
      <c r="AN16" s="50" t="str">
        <f t="shared" si="66"/>
        <v>#ERROR!</v>
      </c>
    </row>
    <row r="17">
      <c r="A17" s="1"/>
      <c r="B17" s="43" t="s">
        <v>73</v>
      </c>
      <c r="C17" s="44" t="s">
        <v>11</v>
      </c>
      <c r="D17" s="45">
        <f t="shared" si="1"/>
        <v>2</v>
      </c>
      <c r="E17" s="46" t="str">
        <f>VLOOKUP(B17,[1]!Magic_Structure,2,FALSE)</f>
        <v>#ERROR!</v>
      </c>
      <c r="F17" s="47">
        <f>IF(I5&gt;1,I5,1)*4</f>
        <v>4</v>
      </c>
      <c r="G17" s="1"/>
      <c r="H17" s="64" t="s">
        <v>62</v>
      </c>
      <c r="I17" s="65">
        <f>$I$5*2*$I$6</f>
        <v>10</v>
      </c>
      <c r="J17" s="1"/>
      <c r="K17" s="6" t="s">
        <v>39</v>
      </c>
      <c r="L17" s="55" t="s">
        <v>9</v>
      </c>
      <c r="M17" s="56">
        <f>VLOOKUP(L17,B29:F39, 5, FALSE)</f>
        <v>0</v>
      </c>
      <c r="N17" s="1"/>
      <c r="O17" s="6" t="s">
        <v>39</v>
      </c>
      <c r="P17" s="55" t="s">
        <v>9</v>
      </c>
      <c r="Q17" s="56">
        <f>VLOOKUP(P17,B29:F39, 5, FALSE)</f>
        <v>0</v>
      </c>
      <c r="R17" s="1"/>
      <c r="S17" s="25" t="s">
        <v>52</v>
      </c>
      <c r="T17" s="26" t="s">
        <v>74</v>
      </c>
      <c r="U17" s="27" t="str">
        <f>VLOOKUP(T17,X4:Y136,2,FALSE)</f>
        <v>#ERROR!</v>
      </c>
      <c r="V17" s="13"/>
      <c r="W17" s="25" t="s">
        <v>18</v>
      </c>
      <c r="X17" s="26" t="s">
        <v>75</v>
      </c>
      <c r="Y17" s="27" t="str">
        <f>VLOOKUP(X17,[1]!Magic_Energies,2,FALSE)</f>
        <v>#ERROR!</v>
      </c>
      <c r="Z17" s="48" t="str">
        <f t="shared" ref="Z17:AB17" si="67">IF($Y17=Z$3,"S","")</f>
        <v>#ERROR!</v>
      </c>
      <c r="AA17" s="49" t="str">
        <f t="shared" si="67"/>
        <v>#ERROR!</v>
      </c>
      <c r="AB17" s="50" t="str">
        <f t="shared" si="67"/>
        <v>#ERROR!</v>
      </c>
      <c r="AC17" s="48" t="str">
        <f t="shared" ref="AC17:AE17" si="68">IF($Y17=AC$3,"B","")</f>
        <v>#ERROR!</v>
      </c>
      <c r="AD17" s="49" t="str">
        <f t="shared" si="68"/>
        <v>#ERROR!</v>
      </c>
      <c r="AE17" s="50" t="str">
        <f t="shared" si="68"/>
        <v>#ERROR!</v>
      </c>
      <c r="AF17" s="48" t="str">
        <f t="shared" ref="AF17:AH17" si="69">IF($Y17=AF$3,"I","")</f>
        <v>#ERROR!</v>
      </c>
      <c r="AG17" s="49" t="str">
        <f t="shared" si="69"/>
        <v>#ERROR!</v>
      </c>
      <c r="AH17" s="50" t="str">
        <f t="shared" si="69"/>
        <v>#ERROR!</v>
      </c>
      <c r="AI17" s="48" t="str">
        <f t="shared" ref="AI17:AK17" si="70">IF($Y17=AI$3,"A","")</f>
        <v>#ERROR!</v>
      </c>
      <c r="AJ17" s="49" t="str">
        <f t="shared" si="70"/>
        <v>#ERROR!</v>
      </c>
      <c r="AK17" s="50" t="str">
        <f t="shared" si="70"/>
        <v>#ERROR!</v>
      </c>
      <c r="AL17" s="48" t="str">
        <f t="shared" ref="AL17:AN17" si="71">IF($Y17=AL$3,"M","")</f>
        <v>#ERROR!</v>
      </c>
      <c r="AM17" s="49" t="str">
        <f t="shared" si="71"/>
        <v>#ERROR!</v>
      </c>
      <c r="AN17" s="50" t="str">
        <f t="shared" si="71"/>
        <v>#ERROR!</v>
      </c>
    </row>
    <row r="18">
      <c r="A18" s="1"/>
      <c r="B18" s="17" t="s">
        <v>76</v>
      </c>
      <c r="C18" s="18" t="s">
        <v>11</v>
      </c>
      <c r="D18" s="18">
        <f t="shared" si="1"/>
        <v>2</v>
      </c>
      <c r="E18" s="19" t="str">
        <f>VLOOKUP(B18,[1]!Magic_Structure,2,FALSE)</f>
        <v>#ERROR!</v>
      </c>
      <c r="F18" s="20">
        <f>Q30</f>
        <v>2</v>
      </c>
      <c r="G18" s="1"/>
      <c r="H18" s="66" t="s">
        <v>77</v>
      </c>
      <c r="I18" s="67">
        <f>$I$5*1*$I$6</f>
        <v>5</v>
      </c>
      <c r="J18" s="1"/>
      <c r="K18" s="1"/>
      <c r="L18" s="59" t="s">
        <v>43</v>
      </c>
      <c r="M18" s="56">
        <f>IF(L12="None", 0, SUM(M17,M16,M15,M14,M13))</f>
        <v>0</v>
      </c>
      <c r="N18" s="1"/>
      <c r="O18" s="1"/>
      <c r="P18" s="59" t="s">
        <v>43</v>
      </c>
      <c r="Q18" s="56">
        <f>IF(P12="None", 0, SUM(Q17,Q16,Q15,Q14,Q13))</f>
        <v>0</v>
      </c>
      <c r="R18" s="1"/>
      <c r="S18" s="25" t="s">
        <v>18</v>
      </c>
      <c r="T18" s="26" t="s">
        <v>60</v>
      </c>
      <c r="U18" s="27" t="str">
        <f>VLOOKUP(T18,X4:Y136,2,FALSE)</f>
        <v>#ERROR!</v>
      </c>
      <c r="V18" s="13"/>
      <c r="W18" s="25" t="s">
        <v>26</v>
      </c>
      <c r="X18" s="26" t="s">
        <v>78</v>
      </c>
      <c r="Y18" s="27" t="str">
        <f>VLOOKUP(X18,[1]!Magic_Energies,2,FALSE)</f>
        <v>#ERROR!</v>
      </c>
      <c r="Z18" s="48" t="str">
        <f t="shared" ref="Z18:AB18" si="72">IF($Y18=Z$3,"S","")</f>
        <v>#ERROR!</v>
      </c>
      <c r="AA18" s="49" t="str">
        <f t="shared" si="72"/>
        <v>#ERROR!</v>
      </c>
      <c r="AB18" s="50" t="str">
        <f t="shared" si="72"/>
        <v>#ERROR!</v>
      </c>
      <c r="AC18" s="48" t="str">
        <f t="shared" ref="AC18:AE18" si="73">IF($Y18=AC$3,"B","")</f>
        <v>#ERROR!</v>
      </c>
      <c r="AD18" s="49" t="str">
        <f t="shared" si="73"/>
        <v>#ERROR!</v>
      </c>
      <c r="AE18" s="50" t="str">
        <f t="shared" si="73"/>
        <v>#ERROR!</v>
      </c>
      <c r="AF18" s="48" t="str">
        <f t="shared" ref="AF18:AH18" si="74">IF($Y18=AF$3,"I","")</f>
        <v>#ERROR!</v>
      </c>
      <c r="AG18" s="49" t="str">
        <f t="shared" si="74"/>
        <v>#ERROR!</v>
      </c>
      <c r="AH18" s="50" t="str">
        <f t="shared" si="74"/>
        <v>#ERROR!</v>
      </c>
      <c r="AI18" s="48" t="str">
        <f t="shared" ref="AI18:AK18" si="75">IF($Y18=AI$3,"A","")</f>
        <v>#ERROR!</v>
      </c>
      <c r="AJ18" s="49" t="str">
        <f t="shared" si="75"/>
        <v>#ERROR!</v>
      </c>
      <c r="AK18" s="50" t="str">
        <f t="shared" si="75"/>
        <v>#ERROR!</v>
      </c>
      <c r="AL18" s="48" t="str">
        <f t="shared" ref="AL18:AN18" si="76">IF($Y18=AL$3,"M","")</f>
        <v>#ERROR!</v>
      </c>
      <c r="AM18" s="49" t="str">
        <f t="shared" si="76"/>
        <v>#ERROR!</v>
      </c>
      <c r="AN18" s="50" t="str">
        <f t="shared" si="76"/>
        <v>#ERROR!</v>
      </c>
    </row>
    <row r="19">
      <c r="A19" s="1"/>
      <c r="B19" s="31" t="s">
        <v>79</v>
      </c>
      <c r="C19" s="32" t="s">
        <v>12</v>
      </c>
      <c r="D19" s="33">
        <f t="shared" si="1"/>
        <v>3</v>
      </c>
      <c r="E19" s="34" t="str">
        <f>VLOOKUP(B19,[1]!Magic_Structure,2,FALSE)</f>
        <v>#ERROR!</v>
      </c>
      <c r="F19" s="35">
        <f>Q30*2</f>
        <v>4</v>
      </c>
      <c r="G19" s="1"/>
      <c r="H19" s="62" t="s">
        <v>80</v>
      </c>
      <c r="I19" s="63">
        <f t="shared" ref="I19:I27" si="82">$I$5*$I$6</f>
        <v>5</v>
      </c>
      <c r="J19" s="1"/>
      <c r="K19" s="1"/>
      <c r="L19" s="1"/>
      <c r="M19" s="1"/>
      <c r="N19" s="1"/>
      <c r="O19" s="1"/>
      <c r="P19" s="1"/>
      <c r="Q19" s="1"/>
      <c r="R19" s="1"/>
      <c r="S19" s="25" t="s">
        <v>18</v>
      </c>
      <c r="T19" s="26" t="s">
        <v>81</v>
      </c>
      <c r="U19" s="27" t="str">
        <f>VLOOKUP(T19,X4:Y136,2,FALSE)</f>
        <v>#ERROR!</v>
      </c>
      <c r="V19" s="13"/>
      <c r="W19" s="25" t="s">
        <v>26</v>
      </c>
      <c r="X19" s="26" t="s">
        <v>82</v>
      </c>
      <c r="Y19" s="27" t="str">
        <f>VLOOKUP(X19,[1]!Magic_Energies,2,FALSE)</f>
        <v>#ERROR!</v>
      </c>
      <c r="Z19" s="48" t="str">
        <f t="shared" ref="Z19:AB19" si="77">IF($Y19=Z$3,"S","")</f>
        <v>#ERROR!</v>
      </c>
      <c r="AA19" s="49" t="str">
        <f t="shared" si="77"/>
        <v>#ERROR!</v>
      </c>
      <c r="AB19" s="50" t="str">
        <f t="shared" si="77"/>
        <v>#ERROR!</v>
      </c>
      <c r="AC19" s="48" t="str">
        <f t="shared" ref="AC19:AE19" si="78">IF($Y19=AC$3,"B","")</f>
        <v>#ERROR!</v>
      </c>
      <c r="AD19" s="49" t="str">
        <f t="shared" si="78"/>
        <v>#ERROR!</v>
      </c>
      <c r="AE19" s="50" t="str">
        <f t="shared" si="78"/>
        <v>#ERROR!</v>
      </c>
      <c r="AF19" s="48" t="str">
        <f t="shared" ref="AF19:AH19" si="79">IF($Y19=AF$3,"I","")</f>
        <v>#ERROR!</v>
      </c>
      <c r="AG19" s="49" t="str">
        <f t="shared" si="79"/>
        <v>#ERROR!</v>
      </c>
      <c r="AH19" s="50" t="str">
        <f t="shared" si="79"/>
        <v>#ERROR!</v>
      </c>
      <c r="AI19" s="48" t="str">
        <f t="shared" ref="AI19:AK19" si="80">IF($Y19=AI$3,"A","")</f>
        <v>#ERROR!</v>
      </c>
      <c r="AJ19" s="49" t="str">
        <f t="shared" si="80"/>
        <v>#ERROR!</v>
      </c>
      <c r="AK19" s="50" t="str">
        <f t="shared" si="80"/>
        <v>#ERROR!</v>
      </c>
      <c r="AL19" s="48" t="str">
        <f t="shared" ref="AL19:AN19" si="81">IF($Y19=AL$3,"M","")</f>
        <v>#ERROR!</v>
      </c>
      <c r="AM19" s="49" t="str">
        <f t="shared" si="81"/>
        <v>#ERROR!</v>
      </c>
      <c r="AN19" s="50" t="str">
        <f t="shared" si="81"/>
        <v>#ERROR!</v>
      </c>
    </row>
    <row r="20">
      <c r="A20" s="1"/>
      <c r="B20" s="31" t="s">
        <v>83</v>
      </c>
      <c r="C20" s="32" t="s">
        <v>12</v>
      </c>
      <c r="D20" s="33">
        <f t="shared" si="1"/>
        <v>3</v>
      </c>
      <c r="E20" s="34" t="str">
        <f>VLOOKUP(B20,[1]!Magic_Structure,2,FALSE)</f>
        <v>#ERROR!</v>
      </c>
      <c r="F20" s="35">
        <f>Q30*3</f>
        <v>6</v>
      </c>
      <c r="G20" s="1"/>
      <c r="H20" s="62" t="s">
        <v>80</v>
      </c>
      <c r="I20" s="63">
        <f t="shared" si="82"/>
        <v>5</v>
      </c>
      <c r="J20" s="1"/>
      <c r="K20" s="8" t="s">
        <v>84</v>
      </c>
      <c r="L20" s="2" t="s">
        <v>6</v>
      </c>
      <c r="M20" s="9" t="s">
        <v>7</v>
      </c>
      <c r="N20" s="1"/>
      <c r="O20" s="8" t="s">
        <v>85</v>
      </c>
      <c r="P20" s="2" t="s">
        <v>6</v>
      </c>
      <c r="Q20" s="9" t="s">
        <v>7</v>
      </c>
      <c r="R20" s="1"/>
      <c r="S20" s="25" t="s">
        <v>26</v>
      </c>
      <c r="T20" s="26" t="s">
        <v>86</v>
      </c>
      <c r="U20" s="27" t="str">
        <f>VLOOKUP(T20,X4:Y136,2,FALSE)</f>
        <v>#ERROR!</v>
      </c>
      <c r="V20" s="13"/>
      <c r="W20" s="25" t="s">
        <v>26</v>
      </c>
      <c r="X20" s="26" t="s">
        <v>87</v>
      </c>
      <c r="Y20" s="27" t="str">
        <f>VLOOKUP(X20,[1]!Magic_Energies,2,FALSE)</f>
        <v>#ERROR!</v>
      </c>
      <c r="Z20" s="48" t="str">
        <f t="shared" ref="Z20:AB20" si="83">IF($Y20=Z$3,"S","")</f>
        <v>#ERROR!</v>
      </c>
      <c r="AA20" s="49" t="str">
        <f t="shared" si="83"/>
        <v>#ERROR!</v>
      </c>
      <c r="AB20" s="50" t="str">
        <f t="shared" si="83"/>
        <v>#ERROR!</v>
      </c>
      <c r="AC20" s="48" t="str">
        <f t="shared" ref="AC20:AE20" si="84">IF($Y20=AC$3,"B","")</f>
        <v>#ERROR!</v>
      </c>
      <c r="AD20" s="49" t="str">
        <f t="shared" si="84"/>
        <v>#ERROR!</v>
      </c>
      <c r="AE20" s="50" t="str">
        <f t="shared" si="84"/>
        <v>#ERROR!</v>
      </c>
      <c r="AF20" s="48" t="str">
        <f t="shared" ref="AF20:AH20" si="85">IF($Y20=AF$3,"I","")</f>
        <v>#ERROR!</v>
      </c>
      <c r="AG20" s="49" t="str">
        <f t="shared" si="85"/>
        <v>#ERROR!</v>
      </c>
      <c r="AH20" s="50" t="str">
        <f t="shared" si="85"/>
        <v>#ERROR!</v>
      </c>
      <c r="AI20" s="48" t="str">
        <f t="shared" ref="AI20:AK20" si="86">IF($Y20=AI$3,"A","")</f>
        <v>#ERROR!</v>
      </c>
      <c r="AJ20" s="49" t="str">
        <f t="shared" si="86"/>
        <v>#ERROR!</v>
      </c>
      <c r="AK20" s="50" t="str">
        <f t="shared" si="86"/>
        <v>#ERROR!</v>
      </c>
      <c r="AL20" s="48" t="str">
        <f t="shared" ref="AL20:AN20" si="87">IF($Y20=AL$3,"M","")</f>
        <v>#ERROR!</v>
      </c>
      <c r="AM20" s="49" t="str">
        <f t="shared" si="87"/>
        <v>#ERROR!</v>
      </c>
      <c r="AN20" s="50" t="str">
        <f t="shared" si="87"/>
        <v>#ERROR!</v>
      </c>
    </row>
    <row r="21" ht="15.75" customHeight="1">
      <c r="A21" s="1"/>
      <c r="B21" s="31" t="s">
        <v>88</v>
      </c>
      <c r="C21" s="32" t="s">
        <v>12</v>
      </c>
      <c r="D21" s="33">
        <f t="shared" si="1"/>
        <v>3</v>
      </c>
      <c r="E21" s="34" t="str">
        <f>VLOOKUP(B21,[1]!Magic_Structure,2,FALSE)</f>
        <v>#ERROR!</v>
      </c>
      <c r="F21" s="35">
        <f>Q30*4</f>
        <v>8</v>
      </c>
      <c r="G21" s="1"/>
      <c r="H21" s="62" t="s">
        <v>80</v>
      </c>
      <c r="I21" s="63">
        <f t="shared" si="82"/>
        <v>5</v>
      </c>
      <c r="J21" s="1"/>
      <c r="K21" s="22" t="s">
        <v>17</v>
      </c>
      <c r="L21" s="23" t="s">
        <v>9</v>
      </c>
      <c r="M21" s="24">
        <f>VLOOKUP(L21, PointList, 2, FALSE)</f>
        <v>0</v>
      </c>
      <c r="N21" s="1"/>
      <c r="O21" s="22" t="s">
        <v>17</v>
      </c>
      <c r="P21" s="23" t="s">
        <v>9</v>
      </c>
      <c r="Q21" s="24">
        <f>VLOOKUP(P21, PointList, 2, FALSE)</f>
        <v>0</v>
      </c>
      <c r="R21" s="1"/>
      <c r="S21" s="25" t="s">
        <v>26</v>
      </c>
      <c r="T21" s="26" t="s">
        <v>89</v>
      </c>
      <c r="U21" s="27" t="str">
        <f>VLOOKUP(T21,X4:Y136,2,FALSE)</f>
        <v>#ERROR!</v>
      </c>
      <c r="V21" s="13"/>
      <c r="W21" s="25" t="s">
        <v>26</v>
      </c>
      <c r="X21" s="26" t="s">
        <v>90</v>
      </c>
      <c r="Y21" s="27" t="str">
        <f>VLOOKUP(X21,[1]!Magic_Energies,2,FALSE)</f>
        <v>#ERROR!</v>
      </c>
      <c r="Z21" s="48" t="str">
        <f t="shared" ref="Z21:AB21" si="88">IF($Y21=Z$3,"S","")</f>
        <v>#ERROR!</v>
      </c>
      <c r="AA21" s="49" t="str">
        <f t="shared" si="88"/>
        <v>#ERROR!</v>
      </c>
      <c r="AB21" s="50" t="str">
        <f t="shared" si="88"/>
        <v>#ERROR!</v>
      </c>
      <c r="AC21" s="48" t="str">
        <f t="shared" ref="AC21:AE21" si="89">IF($Y21=AC$3,"B","")</f>
        <v>#ERROR!</v>
      </c>
      <c r="AD21" s="49" t="str">
        <f t="shared" si="89"/>
        <v>#ERROR!</v>
      </c>
      <c r="AE21" s="50" t="str">
        <f t="shared" si="89"/>
        <v>#ERROR!</v>
      </c>
      <c r="AF21" s="48" t="str">
        <f t="shared" ref="AF21:AH21" si="90">IF($Y21=AF$3,"I","")</f>
        <v>#ERROR!</v>
      </c>
      <c r="AG21" s="49" t="str">
        <f t="shared" si="90"/>
        <v>#ERROR!</v>
      </c>
      <c r="AH21" s="50" t="str">
        <f t="shared" si="90"/>
        <v>#ERROR!</v>
      </c>
      <c r="AI21" s="48" t="str">
        <f t="shared" ref="AI21:AK21" si="91">IF($Y21=AI$3,"A","")</f>
        <v>#ERROR!</v>
      </c>
      <c r="AJ21" s="49" t="str">
        <f t="shared" si="91"/>
        <v>#ERROR!</v>
      </c>
      <c r="AK21" s="50" t="str">
        <f t="shared" si="91"/>
        <v>#ERROR!</v>
      </c>
      <c r="AL21" s="48" t="str">
        <f t="shared" ref="AL21:AN21" si="92">IF($Y21=AL$3,"M","")</f>
        <v>#ERROR!</v>
      </c>
      <c r="AM21" s="49" t="str">
        <f t="shared" si="92"/>
        <v>#ERROR!</v>
      </c>
      <c r="AN21" s="50" t="str">
        <f t="shared" si="92"/>
        <v>#ERROR!</v>
      </c>
    </row>
    <row r="22" ht="15.75" customHeight="1">
      <c r="A22" s="1"/>
      <c r="B22" s="31" t="s">
        <v>91</v>
      </c>
      <c r="C22" s="32" t="s">
        <v>13</v>
      </c>
      <c r="D22" s="33">
        <f t="shared" si="1"/>
        <v>4</v>
      </c>
      <c r="E22" s="34" t="str">
        <f>VLOOKUP(B22,[1]!Magic_Structure,2,FALSE)</f>
        <v>#ERROR!</v>
      </c>
      <c r="F22" s="35">
        <f>Q30*5</f>
        <v>10</v>
      </c>
      <c r="G22" s="1"/>
      <c r="H22" s="62" t="s">
        <v>80</v>
      </c>
      <c r="I22" s="63">
        <f t="shared" si="82"/>
        <v>5</v>
      </c>
      <c r="J22" s="1"/>
      <c r="K22" s="36" t="s">
        <v>22</v>
      </c>
      <c r="L22" s="37">
        <v>1.0</v>
      </c>
      <c r="M22" s="38">
        <f>L22*M21</f>
        <v>0</v>
      </c>
      <c r="N22" s="1"/>
      <c r="O22" s="36" t="s">
        <v>22</v>
      </c>
      <c r="P22" s="37">
        <v>1.0</v>
      </c>
      <c r="Q22" s="38">
        <f>L22*M21</f>
        <v>0</v>
      </c>
      <c r="R22" s="1"/>
      <c r="S22" s="25" t="s">
        <v>26</v>
      </c>
      <c r="T22" s="26" t="s">
        <v>92</v>
      </c>
      <c r="U22" s="27" t="str">
        <f>VLOOKUP(T22,X4:Y136,2,FALSE)</f>
        <v>#ERROR!</v>
      </c>
      <c r="V22" s="13"/>
      <c r="W22" s="25" t="s">
        <v>26</v>
      </c>
      <c r="X22" s="26" t="s">
        <v>93</v>
      </c>
      <c r="Y22" s="27" t="str">
        <f>VLOOKUP(X22,[1]!Magic_Energies,2,FALSE)</f>
        <v>#ERROR!</v>
      </c>
      <c r="Z22" s="48" t="str">
        <f t="shared" ref="Z22:AB22" si="93">IF($Y22=Z$3,"S","")</f>
        <v>#ERROR!</v>
      </c>
      <c r="AA22" s="49" t="str">
        <f t="shared" si="93"/>
        <v>#ERROR!</v>
      </c>
      <c r="AB22" s="50" t="str">
        <f t="shared" si="93"/>
        <v>#ERROR!</v>
      </c>
      <c r="AC22" s="48" t="str">
        <f t="shared" ref="AC22:AE22" si="94">IF($Y22=AC$3,"B","")</f>
        <v>#ERROR!</v>
      </c>
      <c r="AD22" s="49" t="str">
        <f t="shared" si="94"/>
        <v>#ERROR!</v>
      </c>
      <c r="AE22" s="50" t="str">
        <f t="shared" si="94"/>
        <v>#ERROR!</v>
      </c>
      <c r="AF22" s="48" t="str">
        <f t="shared" ref="AF22:AH22" si="95">IF($Y22=AF$3,"I","")</f>
        <v>#ERROR!</v>
      </c>
      <c r="AG22" s="49" t="str">
        <f t="shared" si="95"/>
        <v>#ERROR!</v>
      </c>
      <c r="AH22" s="50" t="str">
        <f t="shared" si="95"/>
        <v>#ERROR!</v>
      </c>
      <c r="AI22" s="48" t="str">
        <f t="shared" ref="AI22:AK22" si="96">IF($Y22=AI$3,"A","")</f>
        <v>#ERROR!</v>
      </c>
      <c r="AJ22" s="49" t="str">
        <f t="shared" si="96"/>
        <v>#ERROR!</v>
      </c>
      <c r="AK22" s="50" t="str">
        <f t="shared" si="96"/>
        <v>#ERROR!</v>
      </c>
      <c r="AL22" s="48" t="str">
        <f t="shared" ref="AL22:AN22" si="97">IF($Y22=AL$3,"M","")</f>
        <v>#ERROR!</v>
      </c>
      <c r="AM22" s="49" t="str">
        <f t="shared" si="97"/>
        <v>#ERROR!</v>
      </c>
      <c r="AN22" s="50" t="str">
        <f t="shared" si="97"/>
        <v>#ERROR!</v>
      </c>
    </row>
    <row r="23" ht="15.75" customHeight="1">
      <c r="A23" s="1"/>
      <c r="B23" s="31" t="s">
        <v>94</v>
      </c>
      <c r="C23" s="32" t="s">
        <v>13</v>
      </c>
      <c r="D23" s="33">
        <f t="shared" si="1"/>
        <v>4</v>
      </c>
      <c r="E23" s="34" t="str">
        <f>VLOOKUP(B23,[1]!Magic_Structure,2,FALSE)</f>
        <v>#ERROR!</v>
      </c>
      <c r="F23" s="35">
        <f>Q30*6</f>
        <v>12</v>
      </c>
      <c r="G23" s="1"/>
      <c r="H23" s="62" t="s">
        <v>80</v>
      </c>
      <c r="I23" s="63">
        <f t="shared" si="82"/>
        <v>5</v>
      </c>
      <c r="J23" s="1"/>
      <c r="K23" s="22" t="s">
        <v>0</v>
      </c>
      <c r="L23" s="23" t="s">
        <v>15</v>
      </c>
      <c r="M23" s="24">
        <f>VLOOKUP(L23, B3:F5, 5, FALSE)</f>
        <v>0</v>
      </c>
      <c r="N23" s="1"/>
      <c r="O23" s="22" t="s">
        <v>0</v>
      </c>
      <c r="P23" s="23" t="s">
        <v>15</v>
      </c>
      <c r="Q23" s="24">
        <f>VLOOKUP(P23,B3:F5, 5, FALSE)</f>
        <v>0</v>
      </c>
      <c r="R23" s="1"/>
      <c r="S23" s="25" t="s">
        <v>52</v>
      </c>
      <c r="T23" s="26" t="s">
        <v>95</v>
      </c>
      <c r="U23" s="27" t="str">
        <f>VLOOKUP(T23,X4:Y136,2,FALSE)</f>
        <v>#ERROR!</v>
      </c>
      <c r="V23" s="13"/>
      <c r="W23" s="25" t="s">
        <v>26</v>
      </c>
      <c r="X23" s="26" t="s">
        <v>96</v>
      </c>
      <c r="Y23" s="27" t="str">
        <f>VLOOKUP(X23,[1]!Magic_Energies,2,FALSE)</f>
        <v>#ERROR!</v>
      </c>
      <c r="Z23" s="48" t="str">
        <f t="shared" ref="Z23:AB23" si="98">IF($Y23=Z$3,"S","")</f>
        <v>#ERROR!</v>
      </c>
      <c r="AA23" s="49" t="str">
        <f t="shared" si="98"/>
        <v>#ERROR!</v>
      </c>
      <c r="AB23" s="50" t="str">
        <f t="shared" si="98"/>
        <v>#ERROR!</v>
      </c>
      <c r="AC23" s="48" t="str">
        <f t="shared" ref="AC23:AE23" si="99">IF($Y23=AC$3,"B","")</f>
        <v>#ERROR!</v>
      </c>
      <c r="AD23" s="49" t="str">
        <f t="shared" si="99"/>
        <v>#ERROR!</v>
      </c>
      <c r="AE23" s="50" t="str">
        <f t="shared" si="99"/>
        <v>#ERROR!</v>
      </c>
      <c r="AF23" s="48" t="str">
        <f t="shared" ref="AF23:AH23" si="100">IF($Y23=AF$3,"I","")</f>
        <v>#ERROR!</v>
      </c>
      <c r="AG23" s="49" t="str">
        <f t="shared" si="100"/>
        <v>#ERROR!</v>
      </c>
      <c r="AH23" s="50" t="str">
        <f t="shared" si="100"/>
        <v>#ERROR!</v>
      </c>
      <c r="AI23" s="48" t="str">
        <f t="shared" ref="AI23:AK23" si="101">IF($Y23=AI$3,"A","")</f>
        <v>#ERROR!</v>
      </c>
      <c r="AJ23" s="49" t="str">
        <f t="shared" si="101"/>
        <v>#ERROR!</v>
      </c>
      <c r="AK23" s="50" t="str">
        <f t="shared" si="101"/>
        <v>#ERROR!</v>
      </c>
      <c r="AL23" s="48" t="str">
        <f t="shared" ref="AL23:AN23" si="102">IF($Y23=AL$3,"M","")</f>
        <v>#ERROR!</v>
      </c>
      <c r="AM23" s="49" t="str">
        <f t="shared" si="102"/>
        <v>#ERROR!</v>
      </c>
      <c r="AN23" s="50" t="str">
        <f t="shared" si="102"/>
        <v>#ERROR!</v>
      </c>
    </row>
    <row r="24" ht="15.75" customHeight="1">
      <c r="A24" s="1"/>
      <c r="B24" s="31" t="s">
        <v>97</v>
      </c>
      <c r="C24" s="32" t="s">
        <v>13</v>
      </c>
      <c r="D24" s="33">
        <f t="shared" si="1"/>
        <v>4</v>
      </c>
      <c r="E24" s="34" t="str">
        <f>VLOOKUP(B24,[1]!Magic_Structure,2,FALSE)</f>
        <v>#ERROR!</v>
      </c>
      <c r="F24" s="35">
        <f>Q30*7</f>
        <v>14</v>
      </c>
      <c r="G24" s="1"/>
      <c r="H24" s="62" t="s">
        <v>80</v>
      </c>
      <c r="I24" s="63">
        <f t="shared" si="82"/>
        <v>5</v>
      </c>
      <c r="J24" s="1"/>
      <c r="K24" s="22" t="s">
        <v>28</v>
      </c>
      <c r="L24" s="23" t="s">
        <v>30</v>
      </c>
      <c r="M24" s="24">
        <f>VLOOKUP(L24,B7:F11, 5, FALSE)</f>
        <v>0</v>
      </c>
      <c r="N24" s="1"/>
      <c r="O24" s="22" t="s">
        <v>28</v>
      </c>
      <c r="P24" s="23" t="s">
        <v>30</v>
      </c>
      <c r="Q24" s="24">
        <f>VLOOKUP(P24,B7:F11, 5, FALSE)</f>
        <v>0</v>
      </c>
      <c r="R24" s="1"/>
      <c r="S24" s="25" t="s">
        <v>52</v>
      </c>
      <c r="T24" s="26" t="s">
        <v>98</v>
      </c>
      <c r="U24" s="27" t="str">
        <f>VLOOKUP(T24,X4:Y136,2,FALSE)</f>
        <v>#ERROR!</v>
      </c>
      <c r="V24" s="13"/>
      <c r="W24" s="25" t="s">
        <v>26</v>
      </c>
      <c r="X24" s="26" t="s">
        <v>99</v>
      </c>
      <c r="Y24" s="27" t="str">
        <f>VLOOKUP(X24,[1]!Magic_Energies,2,FALSE)</f>
        <v>#ERROR!</v>
      </c>
      <c r="Z24" s="48" t="str">
        <f t="shared" ref="Z24:AB24" si="103">IF($Y24=Z$3,"S","")</f>
        <v>#ERROR!</v>
      </c>
      <c r="AA24" s="49" t="str">
        <f t="shared" si="103"/>
        <v>#ERROR!</v>
      </c>
      <c r="AB24" s="50" t="str">
        <f t="shared" si="103"/>
        <v>#ERROR!</v>
      </c>
      <c r="AC24" s="48" t="str">
        <f t="shared" ref="AC24:AE24" si="104">IF($Y24=AC$3,"B","")</f>
        <v>#ERROR!</v>
      </c>
      <c r="AD24" s="49" t="str">
        <f t="shared" si="104"/>
        <v>#ERROR!</v>
      </c>
      <c r="AE24" s="50" t="str">
        <f t="shared" si="104"/>
        <v>#ERROR!</v>
      </c>
      <c r="AF24" s="48" t="str">
        <f t="shared" ref="AF24:AH24" si="105">IF($Y24=AF$3,"I","")</f>
        <v>#ERROR!</v>
      </c>
      <c r="AG24" s="49" t="str">
        <f t="shared" si="105"/>
        <v>#ERROR!</v>
      </c>
      <c r="AH24" s="50" t="str">
        <f t="shared" si="105"/>
        <v>#ERROR!</v>
      </c>
      <c r="AI24" s="48" t="str">
        <f t="shared" ref="AI24:AK24" si="106">IF($Y24=AI$3,"A","")</f>
        <v>#ERROR!</v>
      </c>
      <c r="AJ24" s="49" t="str">
        <f t="shared" si="106"/>
        <v>#ERROR!</v>
      </c>
      <c r="AK24" s="50" t="str">
        <f t="shared" si="106"/>
        <v>#ERROR!</v>
      </c>
      <c r="AL24" s="48" t="str">
        <f t="shared" ref="AL24:AN24" si="107">IF($Y24=AL$3,"M","")</f>
        <v>#ERROR!</v>
      </c>
      <c r="AM24" s="49" t="str">
        <f t="shared" si="107"/>
        <v>#ERROR!</v>
      </c>
      <c r="AN24" s="50" t="str">
        <f t="shared" si="107"/>
        <v>#ERROR!</v>
      </c>
    </row>
    <row r="25" ht="15.75" customHeight="1">
      <c r="A25" s="1"/>
      <c r="B25" s="31" t="s">
        <v>100</v>
      </c>
      <c r="C25" s="32" t="s">
        <v>14</v>
      </c>
      <c r="D25" s="33">
        <f t="shared" si="1"/>
        <v>5</v>
      </c>
      <c r="E25" s="34" t="str">
        <f>VLOOKUP(B25,[1]!Magic_Structure,2,FALSE)</f>
        <v>#ERROR!</v>
      </c>
      <c r="F25" s="35">
        <f>Q30*8</f>
        <v>16</v>
      </c>
      <c r="G25" s="1"/>
      <c r="H25" s="62" t="s">
        <v>80</v>
      </c>
      <c r="I25" s="63">
        <f t="shared" si="82"/>
        <v>5</v>
      </c>
      <c r="J25" s="1"/>
      <c r="K25" s="6" t="s">
        <v>34</v>
      </c>
      <c r="L25" s="55" t="s">
        <v>35</v>
      </c>
      <c r="M25" s="56">
        <f>VLOOKUP(L25,B13:F27, 5, FALSE)</f>
        <v>0</v>
      </c>
      <c r="N25" s="1"/>
      <c r="O25" s="6" t="s">
        <v>34</v>
      </c>
      <c r="P25" s="55" t="s">
        <v>35</v>
      </c>
      <c r="Q25" s="56">
        <f>VLOOKUP(P25,B13:F27, 5, FALSE)</f>
        <v>0</v>
      </c>
      <c r="R25" s="1"/>
      <c r="S25" s="25" t="s">
        <v>52</v>
      </c>
      <c r="T25" s="26" t="s">
        <v>101</v>
      </c>
      <c r="U25" s="27" t="str">
        <f>VLOOKUP(T25,X4:Y136,2,FALSE)</f>
        <v>#ERROR!</v>
      </c>
      <c r="V25" s="13"/>
      <c r="W25" s="25" t="s">
        <v>26</v>
      </c>
      <c r="X25" s="26" t="s">
        <v>102</v>
      </c>
      <c r="Y25" s="27" t="str">
        <f>VLOOKUP(X25,[1]!Magic_Energies,2,FALSE)</f>
        <v>#ERROR!</v>
      </c>
      <c r="Z25" s="48" t="str">
        <f t="shared" ref="Z25:AB25" si="108">IF($Y25=Z$3,"S","")</f>
        <v>#ERROR!</v>
      </c>
      <c r="AA25" s="49" t="str">
        <f t="shared" si="108"/>
        <v>#ERROR!</v>
      </c>
      <c r="AB25" s="50" t="str">
        <f t="shared" si="108"/>
        <v>#ERROR!</v>
      </c>
      <c r="AC25" s="48" t="str">
        <f t="shared" ref="AC25:AE25" si="109">IF($Y25=AC$3,"B","")</f>
        <v>#ERROR!</v>
      </c>
      <c r="AD25" s="49" t="str">
        <f t="shared" si="109"/>
        <v>#ERROR!</v>
      </c>
      <c r="AE25" s="50" t="str">
        <f t="shared" si="109"/>
        <v>#ERROR!</v>
      </c>
      <c r="AF25" s="48" t="str">
        <f t="shared" ref="AF25:AH25" si="110">IF($Y25=AF$3,"I","")</f>
        <v>#ERROR!</v>
      </c>
      <c r="AG25" s="49" t="str">
        <f t="shared" si="110"/>
        <v>#ERROR!</v>
      </c>
      <c r="AH25" s="50" t="str">
        <f t="shared" si="110"/>
        <v>#ERROR!</v>
      </c>
      <c r="AI25" s="48" t="str">
        <f t="shared" ref="AI25:AK25" si="111">IF($Y25=AI$3,"A","")</f>
        <v>#ERROR!</v>
      </c>
      <c r="AJ25" s="49" t="str">
        <f t="shared" si="111"/>
        <v>#ERROR!</v>
      </c>
      <c r="AK25" s="50" t="str">
        <f t="shared" si="111"/>
        <v>#ERROR!</v>
      </c>
      <c r="AL25" s="48" t="str">
        <f t="shared" ref="AL25:AN25" si="112">IF($Y25=AL$3,"M","")</f>
        <v>#ERROR!</v>
      </c>
      <c r="AM25" s="49" t="str">
        <f t="shared" si="112"/>
        <v>#ERROR!</v>
      </c>
      <c r="AN25" s="50" t="str">
        <f t="shared" si="112"/>
        <v>#ERROR!</v>
      </c>
    </row>
    <row r="26" ht="15.75" customHeight="1">
      <c r="A26" s="1"/>
      <c r="B26" s="31" t="s">
        <v>103</v>
      </c>
      <c r="C26" s="32" t="s">
        <v>14</v>
      </c>
      <c r="D26" s="33">
        <f t="shared" si="1"/>
        <v>5</v>
      </c>
      <c r="E26" s="34" t="str">
        <f>VLOOKUP(B26,[1]!Magic_Structure,2,FALSE)</f>
        <v>#ERROR!</v>
      </c>
      <c r="F26" s="35">
        <f>Q30*9</f>
        <v>18</v>
      </c>
      <c r="G26" s="1"/>
      <c r="H26" s="62" t="s">
        <v>80</v>
      </c>
      <c r="I26" s="63">
        <f t="shared" si="82"/>
        <v>5</v>
      </c>
      <c r="J26" s="1"/>
      <c r="K26" s="6" t="s">
        <v>39</v>
      </c>
      <c r="L26" s="55" t="s">
        <v>9</v>
      </c>
      <c r="M26" s="56">
        <f>VLOOKUP(L26,B29:F39, 5, FALSE)</f>
        <v>0</v>
      </c>
      <c r="N26" s="1"/>
      <c r="O26" s="6" t="s">
        <v>39</v>
      </c>
      <c r="P26" s="55" t="s">
        <v>9</v>
      </c>
      <c r="Q26" s="56">
        <f>VLOOKUP(P26,B29:F39, 5, FALSE)</f>
        <v>0</v>
      </c>
      <c r="R26" s="1"/>
      <c r="S26" s="25" t="s">
        <v>26</v>
      </c>
      <c r="T26" s="26" t="s">
        <v>37</v>
      </c>
      <c r="U26" s="27" t="str">
        <f>VLOOKUP(T26,X4:Y136,2,FALSE)</f>
        <v>#ERROR!</v>
      </c>
      <c r="V26" s="13"/>
      <c r="W26" s="25" t="s">
        <v>18</v>
      </c>
      <c r="X26" s="26" t="s">
        <v>104</v>
      </c>
      <c r="Y26" s="27" t="str">
        <f>VLOOKUP(X26,[1]!Magic_Energies,2,FALSE)</f>
        <v>#ERROR!</v>
      </c>
      <c r="Z26" s="48" t="str">
        <f t="shared" ref="Z26:AB26" si="113">IF($Y26=Z$3,"S","")</f>
        <v>#ERROR!</v>
      </c>
      <c r="AA26" s="49" t="str">
        <f t="shared" si="113"/>
        <v>#ERROR!</v>
      </c>
      <c r="AB26" s="50" t="str">
        <f t="shared" si="113"/>
        <v>#ERROR!</v>
      </c>
      <c r="AC26" s="48" t="str">
        <f t="shared" ref="AC26:AE26" si="114">IF($Y26=AC$3,"B","")</f>
        <v>#ERROR!</v>
      </c>
      <c r="AD26" s="49" t="str">
        <f t="shared" si="114"/>
        <v>#ERROR!</v>
      </c>
      <c r="AE26" s="50" t="str">
        <f t="shared" si="114"/>
        <v>#ERROR!</v>
      </c>
      <c r="AF26" s="48" t="str">
        <f t="shared" ref="AF26:AH26" si="115">IF($Y26=AF$3,"I","")</f>
        <v>#ERROR!</v>
      </c>
      <c r="AG26" s="49" t="str">
        <f t="shared" si="115"/>
        <v>#ERROR!</v>
      </c>
      <c r="AH26" s="50" t="str">
        <f t="shared" si="115"/>
        <v>#ERROR!</v>
      </c>
      <c r="AI26" s="48" t="str">
        <f t="shared" ref="AI26:AK26" si="116">IF($Y26=AI$3,"A","")</f>
        <v>#ERROR!</v>
      </c>
      <c r="AJ26" s="49" t="str">
        <f t="shared" si="116"/>
        <v>#ERROR!</v>
      </c>
      <c r="AK26" s="50" t="str">
        <f t="shared" si="116"/>
        <v>#ERROR!</v>
      </c>
      <c r="AL26" s="48" t="str">
        <f t="shared" ref="AL26:AN26" si="117">IF($Y26=AL$3,"M","")</f>
        <v>#ERROR!</v>
      </c>
      <c r="AM26" s="49" t="str">
        <f t="shared" si="117"/>
        <v>#ERROR!</v>
      </c>
      <c r="AN26" s="50" t="str">
        <f t="shared" si="117"/>
        <v>#ERROR!</v>
      </c>
    </row>
    <row r="27" ht="15.75" customHeight="1">
      <c r="A27" s="1"/>
      <c r="B27" s="43" t="s">
        <v>105</v>
      </c>
      <c r="C27" s="44" t="s">
        <v>14</v>
      </c>
      <c r="D27" s="45">
        <f t="shared" si="1"/>
        <v>5</v>
      </c>
      <c r="E27" s="46" t="str">
        <f>VLOOKUP(B27,[1]!Magic_Structure,2,FALSE)</f>
        <v>#ERROR!</v>
      </c>
      <c r="F27" s="47">
        <f>Q30*10</f>
        <v>20</v>
      </c>
      <c r="G27" s="1"/>
      <c r="H27" s="64" t="s">
        <v>80</v>
      </c>
      <c r="I27" s="65">
        <f t="shared" si="82"/>
        <v>5</v>
      </c>
      <c r="J27" s="1"/>
      <c r="K27" s="1"/>
      <c r="L27" s="59" t="s">
        <v>43</v>
      </c>
      <c r="M27" s="56">
        <f>IF(L21="None",0,SUM(M26,M25,M24,M23,M22))</f>
        <v>0</v>
      </c>
      <c r="N27" s="1"/>
      <c r="O27" s="1"/>
      <c r="P27" s="59" t="s">
        <v>43</v>
      </c>
      <c r="Q27" s="56">
        <f>IF(P21="None", 0, SUM(Q26,Q25,Q24,Q23,Q22))</f>
        <v>0</v>
      </c>
      <c r="R27" s="1"/>
      <c r="S27" s="25" t="s">
        <v>26</v>
      </c>
      <c r="T27" s="26" t="s">
        <v>93</v>
      </c>
      <c r="U27" s="27" t="str">
        <f>VLOOKUP(T27,X4:Y136,2,FALSE)</f>
        <v>#ERROR!</v>
      </c>
      <c r="V27" s="13"/>
      <c r="W27" s="25" t="s">
        <v>18</v>
      </c>
      <c r="X27" s="26" t="s">
        <v>106</v>
      </c>
      <c r="Y27" s="27" t="str">
        <f>VLOOKUP(X27,[1]!Magic_Energies,2,FALSE)</f>
        <v>#ERROR!</v>
      </c>
      <c r="Z27" s="48" t="str">
        <f t="shared" ref="Z27:AB27" si="118">IF($Y27=Z$3,"S","")</f>
        <v>#ERROR!</v>
      </c>
      <c r="AA27" s="49" t="str">
        <f t="shared" si="118"/>
        <v>#ERROR!</v>
      </c>
      <c r="AB27" s="50" t="str">
        <f t="shared" si="118"/>
        <v>#ERROR!</v>
      </c>
      <c r="AC27" s="48" t="str">
        <f t="shared" ref="AC27:AE27" si="119">IF($Y27=AC$3,"B","")</f>
        <v>#ERROR!</v>
      </c>
      <c r="AD27" s="49" t="str">
        <f t="shared" si="119"/>
        <v>#ERROR!</v>
      </c>
      <c r="AE27" s="50" t="str">
        <f t="shared" si="119"/>
        <v>#ERROR!</v>
      </c>
      <c r="AF27" s="48" t="str">
        <f t="shared" ref="AF27:AH27" si="120">IF($Y27=AF$3,"I","")</f>
        <v>#ERROR!</v>
      </c>
      <c r="AG27" s="49" t="str">
        <f t="shared" si="120"/>
        <v>#ERROR!</v>
      </c>
      <c r="AH27" s="50" t="str">
        <f t="shared" si="120"/>
        <v>#ERROR!</v>
      </c>
      <c r="AI27" s="48" t="str">
        <f t="shared" ref="AI27:AK27" si="121">IF($Y27=AI$3,"A","")</f>
        <v>#ERROR!</v>
      </c>
      <c r="AJ27" s="49" t="str">
        <f t="shared" si="121"/>
        <v>#ERROR!</v>
      </c>
      <c r="AK27" s="50" t="str">
        <f t="shared" si="121"/>
        <v>#ERROR!</v>
      </c>
      <c r="AL27" s="48" t="str">
        <f t="shared" ref="AL27:AN27" si="122">IF($Y27=AL$3,"M","")</f>
        <v>#ERROR!</v>
      </c>
      <c r="AM27" s="49" t="str">
        <f t="shared" si="122"/>
        <v>#ERROR!</v>
      </c>
      <c r="AN27" s="50" t="str">
        <f t="shared" si="122"/>
        <v>#ERROR!</v>
      </c>
    </row>
    <row r="28" ht="15.75" customHeight="1">
      <c r="A28" s="1"/>
      <c r="B28" s="51" t="s">
        <v>39</v>
      </c>
      <c r="C28" s="52" t="s">
        <v>1</v>
      </c>
      <c r="D28" s="52" t="str">
        <f t="shared" si="1"/>
        <v/>
      </c>
      <c r="E28" s="53" t="s">
        <v>2</v>
      </c>
      <c r="F28" s="54" t="s">
        <v>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5" t="s">
        <v>26</v>
      </c>
      <c r="T28" s="26" t="s">
        <v>107</v>
      </c>
      <c r="U28" s="27" t="str">
        <f>VLOOKUP(T28,X4:Y136,2,FALSE)</f>
        <v>#ERROR!</v>
      </c>
      <c r="V28" s="13"/>
      <c r="W28" s="25" t="s">
        <v>26</v>
      </c>
      <c r="X28" s="26" t="s">
        <v>108</v>
      </c>
      <c r="Y28" s="27" t="str">
        <f>VLOOKUP(X28,[1]!Magic_Energies,2,FALSE)</f>
        <v>#ERROR!</v>
      </c>
      <c r="Z28" s="48" t="str">
        <f t="shared" ref="Z28:AB28" si="123">IF($Y28=Z$3,"S","")</f>
        <v>#ERROR!</v>
      </c>
      <c r="AA28" s="49" t="str">
        <f t="shared" si="123"/>
        <v>#ERROR!</v>
      </c>
      <c r="AB28" s="50" t="str">
        <f t="shared" si="123"/>
        <v>#ERROR!</v>
      </c>
      <c r="AC28" s="48" t="str">
        <f t="shared" ref="AC28:AE28" si="124">IF($Y28=AC$3,"B","")</f>
        <v>#ERROR!</v>
      </c>
      <c r="AD28" s="49" t="str">
        <f t="shared" si="124"/>
        <v>#ERROR!</v>
      </c>
      <c r="AE28" s="50" t="str">
        <f t="shared" si="124"/>
        <v>#ERROR!</v>
      </c>
      <c r="AF28" s="48" t="str">
        <f t="shared" ref="AF28:AH28" si="125">IF($Y28=AF$3,"I","")</f>
        <v>#ERROR!</v>
      </c>
      <c r="AG28" s="49" t="str">
        <f t="shared" si="125"/>
        <v>#ERROR!</v>
      </c>
      <c r="AH28" s="50" t="str">
        <f t="shared" si="125"/>
        <v>#ERROR!</v>
      </c>
      <c r="AI28" s="48" t="str">
        <f t="shared" ref="AI28:AK28" si="126">IF($Y28=AI$3,"A","")</f>
        <v>#ERROR!</v>
      </c>
      <c r="AJ28" s="49" t="str">
        <f t="shared" si="126"/>
        <v>#ERROR!</v>
      </c>
      <c r="AK28" s="50" t="str">
        <f t="shared" si="126"/>
        <v>#ERROR!</v>
      </c>
      <c r="AL28" s="48" t="str">
        <f t="shared" ref="AL28:AN28" si="127">IF($Y28=AL$3,"M","")</f>
        <v>#ERROR!</v>
      </c>
      <c r="AM28" s="49" t="str">
        <f t="shared" si="127"/>
        <v>#ERROR!</v>
      </c>
      <c r="AN28" s="50" t="str">
        <f t="shared" si="127"/>
        <v>#ERROR!</v>
      </c>
    </row>
    <row r="29" ht="15.75" customHeight="1">
      <c r="A29" s="1"/>
      <c r="B29" s="17" t="s">
        <v>9</v>
      </c>
      <c r="C29" s="18" t="s">
        <v>109</v>
      </c>
      <c r="D29" s="18" t="str">
        <f t="shared" si="1"/>
        <v/>
      </c>
      <c r="E29" s="19" t="str">
        <f>VLOOKUP(B29,[1]!Magic_Structure,2,FALSE)</f>
        <v>#ERROR!</v>
      </c>
      <c r="F29" s="20">
        <f>0</f>
        <v>0</v>
      </c>
      <c r="G29" s="1"/>
      <c r="H29" s="1"/>
      <c r="I29" s="1"/>
      <c r="J29" s="1"/>
      <c r="K29" s="68" t="s">
        <v>110</v>
      </c>
      <c r="L29" s="15"/>
      <c r="M29" s="15"/>
      <c r="N29" s="15"/>
      <c r="O29" s="15"/>
      <c r="P29" s="16"/>
      <c r="Q29" s="69">
        <f>SUM(IF(L3="None",0,L4),IF(L12="None",0,L13),IF(L21="None",0,L22),IF(P3="None",0,P4),IF(P12="None",0,P13),IF(P21="None",0,P22))</f>
        <v>0</v>
      </c>
      <c r="R29" s="1"/>
      <c r="S29" s="25" t="s">
        <v>26</v>
      </c>
      <c r="T29" s="26" t="s">
        <v>111</v>
      </c>
      <c r="U29" s="27" t="str">
        <f>VLOOKUP(T29,X4:Y136,2,FALSE)</f>
        <v>#ERROR!</v>
      </c>
      <c r="V29" s="13"/>
      <c r="W29" s="25" t="s">
        <v>26</v>
      </c>
      <c r="X29" s="26" t="s">
        <v>112</v>
      </c>
      <c r="Y29" s="27" t="str">
        <f>VLOOKUP(X29,[1]!Magic_Energies,2,FALSE)</f>
        <v>#ERROR!</v>
      </c>
      <c r="Z29" s="48" t="str">
        <f t="shared" ref="Z29:AB29" si="128">IF($Y29=Z$3,"S","")</f>
        <v>#ERROR!</v>
      </c>
      <c r="AA29" s="49" t="str">
        <f t="shared" si="128"/>
        <v>#ERROR!</v>
      </c>
      <c r="AB29" s="50" t="str">
        <f t="shared" si="128"/>
        <v>#ERROR!</v>
      </c>
      <c r="AC29" s="48" t="str">
        <f t="shared" ref="AC29:AE29" si="129">IF($Y29=AC$3,"B","")</f>
        <v>#ERROR!</v>
      </c>
      <c r="AD29" s="49" t="str">
        <f t="shared" si="129"/>
        <v>#ERROR!</v>
      </c>
      <c r="AE29" s="50" t="str">
        <f t="shared" si="129"/>
        <v>#ERROR!</v>
      </c>
      <c r="AF29" s="48" t="str">
        <f t="shared" ref="AF29:AH29" si="130">IF($Y29=AF$3,"I","")</f>
        <v>#ERROR!</v>
      </c>
      <c r="AG29" s="49" t="str">
        <f t="shared" si="130"/>
        <v>#ERROR!</v>
      </c>
      <c r="AH29" s="50" t="str">
        <f t="shared" si="130"/>
        <v>#ERROR!</v>
      </c>
      <c r="AI29" s="48" t="str">
        <f t="shared" ref="AI29:AK29" si="131">IF($Y29=AI$3,"A","")</f>
        <v>#ERROR!</v>
      </c>
      <c r="AJ29" s="49" t="str">
        <f t="shared" si="131"/>
        <v>#ERROR!</v>
      </c>
      <c r="AK29" s="50" t="str">
        <f t="shared" si="131"/>
        <v>#ERROR!</v>
      </c>
      <c r="AL29" s="48" t="str">
        <f t="shared" ref="AL29:AN29" si="132">IF($Y29=AL$3,"M","")</f>
        <v>#ERROR!</v>
      </c>
      <c r="AM29" s="49" t="str">
        <f t="shared" si="132"/>
        <v>#ERROR!</v>
      </c>
      <c r="AN29" s="50" t="str">
        <f t="shared" si="132"/>
        <v>#ERROR!</v>
      </c>
    </row>
    <row r="30" ht="15.75" customHeight="1">
      <c r="A30" s="1"/>
      <c r="B30" s="31" t="s">
        <v>113</v>
      </c>
      <c r="C30" s="32" t="s">
        <v>10</v>
      </c>
      <c r="D30" s="33">
        <f t="shared" si="1"/>
        <v>1</v>
      </c>
      <c r="E30" s="34" t="str">
        <f>VLOOKUP(B30,[1]!Magic_Structure,2,FALSE)</f>
        <v>#ERROR!</v>
      </c>
      <c r="F30" s="35">
        <f>2*SUM(IF(L3&lt;&gt;"None",L4,0),IF(L12&lt;&gt;"None",L13,0),IF(L21&lt;&gt;"None",L22,0),IF(P3&lt;&gt;"None",P4,0),IF(P12&lt;&gt;"None",P13,0),IF(P21&lt;&gt;"None",P22,0))</f>
        <v>0</v>
      </c>
      <c r="G30" s="1"/>
      <c r="H30" s="1"/>
      <c r="I30" s="1"/>
      <c r="J30" s="1"/>
      <c r="K30" s="68" t="s">
        <v>114</v>
      </c>
      <c r="L30" s="15"/>
      <c r="M30" s="15"/>
      <c r="N30" s="15"/>
      <c r="O30" s="15"/>
      <c r="P30" s="16"/>
      <c r="Q30" s="70">
        <f>IF((I4+I5)&gt;1,(I4+I5),1)</f>
        <v>2</v>
      </c>
      <c r="R30" s="1"/>
      <c r="S30" s="25" t="s">
        <v>26</v>
      </c>
      <c r="T30" s="26" t="s">
        <v>115</v>
      </c>
      <c r="U30" s="27" t="str">
        <f>VLOOKUP(T30,X4:Y136,2,FALSE)</f>
        <v>#ERROR!</v>
      </c>
      <c r="V30" s="13"/>
      <c r="W30" s="25" t="s">
        <v>26</v>
      </c>
      <c r="X30" s="26" t="s">
        <v>116</v>
      </c>
      <c r="Y30" s="27" t="str">
        <f>VLOOKUP(X30,[1]!Magic_Energies,2,FALSE)</f>
        <v>#ERROR!</v>
      </c>
      <c r="Z30" s="48" t="str">
        <f t="shared" ref="Z30:AB30" si="133">IF($Y30=Z$3,"S","")</f>
        <v>#ERROR!</v>
      </c>
      <c r="AA30" s="49" t="str">
        <f t="shared" si="133"/>
        <v>#ERROR!</v>
      </c>
      <c r="AB30" s="50" t="str">
        <f t="shared" si="133"/>
        <v>#ERROR!</v>
      </c>
      <c r="AC30" s="48" t="str">
        <f t="shared" ref="AC30:AE30" si="134">IF($Y30=AC$3,"B","")</f>
        <v>#ERROR!</v>
      </c>
      <c r="AD30" s="49" t="str">
        <f t="shared" si="134"/>
        <v>#ERROR!</v>
      </c>
      <c r="AE30" s="50" t="str">
        <f t="shared" si="134"/>
        <v>#ERROR!</v>
      </c>
      <c r="AF30" s="48" t="str">
        <f t="shared" ref="AF30:AH30" si="135">IF($Y30=AF$3,"I","")</f>
        <v>#ERROR!</v>
      </c>
      <c r="AG30" s="49" t="str">
        <f t="shared" si="135"/>
        <v>#ERROR!</v>
      </c>
      <c r="AH30" s="50" t="str">
        <f t="shared" si="135"/>
        <v>#ERROR!</v>
      </c>
      <c r="AI30" s="48" t="str">
        <f t="shared" ref="AI30:AK30" si="136">IF($Y30=AI$3,"A","")</f>
        <v>#ERROR!</v>
      </c>
      <c r="AJ30" s="49" t="str">
        <f t="shared" si="136"/>
        <v>#ERROR!</v>
      </c>
      <c r="AK30" s="50" t="str">
        <f t="shared" si="136"/>
        <v>#ERROR!</v>
      </c>
      <c r="AL30" s="48" t="str">
        <f t="shared" ref="AL30:AN30" si="137">IF($Y30=AL$3,"M","")</f>
        <v>#ERROR!</v>
      </c>
      <c r="AM30" s="49" t="str">
        <f t="shared" si="137"/>
        <v>#ERROR!</v>
      </c>
      <c r="AN30" s="50" t="str">
        <f t="shared" si="137"/>
        <v>#ERROR!</v>
      </c>
    </row>
    <row r="31" ht="15.75" customHeight="1">
      <c r="A31" s="1"/>
      <c r="B31" s="31" t="s">
        <v>117</v>
      </c>
      <c r="C31" s="32" t="s">
        <v>10</v>
      </c>
      <c r="D31" s="33">
        <f t="shared" si="1"/>
        <v>1</v>
      </c>
      <c r="E31" s="34" t="str">
        <f>VLOOKUP(B31,[1]!Magic_Structure,2,FALSE)</f>
        <v>#ERROR!</v>
      </c>
      <c r="F31" s="35">
        <f>2*SUM(IF(L3&lt;&gt;"None",L4,0),IF(L12&lt;&gt;"None",L13,0),IF(L21&lt;&gt;"None",L22,0),IF(P3&lt;&gt;"None",P4,0),IF(P12&lt;&gt;"None",P13,0),IF(P21&lt;&gt;"None",P22,0))</f>
        <v>0</v>
      </c>
      <c r="G31" s="1"/>
      <c r="H31" s="1"/>
      <c r="I31" s="1"/>
      <c r="J31" s="1"/>
      <c r="K31" s="68" t="s">
        <v>118</v>
      </c>
      <c r="L31" s="15"/>
      <c r="M31" s="15"/>
      <c r="N31" s="15"/>
      <c r="O31" s="15"/>
      <c r="P31" s="16"/>
      <c r="Q31" s="69">
        <f>SUM(M9,M18,M27,Q9,Q18,Q27)</f>
        <v>0</v>
      </c>
      <c r="R31" s="1"/>
      <c r="S31" s="25" t="s">
        <v>26</v>
      </c>
      <c r="T31" s="26" t="s">
        <v>119</v>
      </c>
      <c r="U31" s="27" t="str">
        <f>VLOOKUP(T31,X4:Y136,2,FALSE)</f>
        <v>#ERROR!</v>
      </c>
      <c r="V31" s="13"/>
      <c r="W31" s="25" t="s">
        <v>26</v>
      </c>
      <c r="X31" s="26" t="s">
        <v>31</v>
      </c>
      <c r="Y31" s="27" t="str">
        <f>VLOOKUP(X31,[1]!Magic_Energies,2,FALSE)</f>
        <v>#ERROR!</v>
      </c>
      <c r="Z31" s="48" t="str">
        <f t="shared" ref="Z31:AB31" si="138">IF($Y31=Z$3,"S","")</f>
        <v>#ERROR!</v>
      </c>
      <c r="AA31" s="49" t="str">
        <f t="shared" si="138"/>
        <v>#ERROR!</v>
      </c>
      <c r="AB31" s="50" t="str">
        <f t="shared" si="138"/>
        <v>#ERROR!</v>
      </c>
      <c r="AC31" s="48" t="str">
        <f t="shared" ref="AC31:AE31" si="139">IF($Y31=AC$3,"B","")</f>
        <v>#ERROR!</v>
      </c>
      <c r="AD31" s="49" t="str">
        <f t="shared" si="139"/>
        <v>#ERROR!</v>
      </c>
      <c r="AE31" s="50" t="str">
        <f t="shared" si="139"/>
        <v>#ERROR!</v>
      </c>
      <c r="AF31" s="48" t="str">
        <f t="shared" ref="AF31:AH31" si="140">IF($Y31=AF$3,"I","")</f>
        <v>#ERROR!</v>
      </c>
      <c r="AG31" s="49" t="str">
        <f t="shared" si="140"/>
        <v>#ERROR!</v>
      </c>
      <c r="AH31" s="50" t="str">
        <f t="shared" si="140"/>
        <v>#ERROR!</v>
      </c>
      <c r="AI31" s="48" t="str">
        <f t="shared" ref="AI31:AK31" si="141">IF($Y31=AI$3,"A","")</f>
        <v>#ERROR!</v>
      </c>
      <c r="AJ31" s="49" t="str">
        <f t="shared" si="141"/>
        <v>#ERROR!</v>
      </c>
      <c r="AK31" s="50" t="str">
        <f t="shared" si="141"/>
        <v>#ERROR!</v>
      </c>
      <c r="AL31" s="48" t="str">
        <f t="shared" ref="AL31:AN31" si="142">IF($Y31=AL$3,"M","")</f>
        <v>#ERROR!</v>
      </c>
      <c r="AM31" s="49" t="str">
        <f t="shared" si="142"/>
        <v>#ERROR!</v>
      </c>
      <c r="AN31" s="50" t="str">
        <f t="shared" si="142"/>
        <v>#ERROR!</v>
      </c>
    </row>
    <row r="32" ht="15.75" customHeight="1">
      <c r="A32" s="1"/>
      <c r="B32" s="31" t="s">
        <v>120</v>
      </c>
      <c r="C32" s="32" t="s">
        <v>11</v>
      </c>
      <c r="D32" s="33">
        <f t="shared" si="1"/>
        <v>2</v>
      </c>
      <c r="E32" s="34" t="str">
        <f>VLOOKUP(B32,[1]!Magic_Structure,2,FALSE)</f>
        <v>#ERROR!</v>
      </c>
      <c r="F32" s="35">
        <f>5*SUM(IF(L3&lt;&gt;"None",L4,0),IF(L12&lt;&gt;"None",L13,0),IF(L21&lt;&gt;"None",L22,0),IF(P3&lt;&gt;"None",P4,0),IF(P12&lt;&gt;"None",P13,0),IF(P21&lt;&gt;"None",P22,0))</f>
        <v>0</v>
      </c>
      <c r="G32" s="1"/>
      <c r="H32" s="1"/>
      <c r="I32" s="1"/>
      <c r="J32" s="1"/>
      <c r="K32" s="71" t="s">
        <v>121</v>
      </c>
      <c r="L32" s="72"/>
      <c r="M32" s="72"/>
      <c r="N32" s="72"/>
      <c r="O32" s="72"/>
      <c r="P32" s="73"/>
      <c r="Q32" s="74">
        <f>2*SUM(M4,M13,M22,Q4,Q13,Q22)</f>
        <v>0</v>
      </c>
      <c r="R32" s="1"/>
      <c r="S32" s="25" t="s">
        <v>26</v>
      </c>
      <c r="T32" s="26" t="s">
        <v>122</v>
      </c>
      <c r="U32" s="27" t="str">
        <f>VLOOKUP(T32,X4:Y136,2,FALSE)</f>
        <v>#ERROR!</v>
      </c>
      <c r="V32" s="13"/>
      <c r="W32" s="25" t="s">
        <v>26</v>
      </c>
      <c r="X32" s="26" t="s">
        <v>59</v>
      </c>
      <c r="Y32" s="27" t="str">
        <f>VLOOKUP(X32,[1]!Magic_Energies,2,FALSE)</f>
        <v>#ERROR!</v>
      </c>
      <c r="Z32" s="48" t="str">
        <f t="shared" ref="Z32:AB32" si="143">IF($Y32=Z$3,"S","")</f>
        <v>#ERROR!</v>
      </c>
      <c r="AA32" s="49" t="str">
        <f t="shared" si="143"/>
        <v>#ERROR!</v>
      </c>
      <c r="AB32" s="50" t="str">
        <f t="shared" si="143"/>
        <v>#ERROR!</v>
      </c>
      <c r="AC32" s="48" t="str">
        <f t="shared" ref="AC32:AE32" si="144">IF($Y32=AC$3,"B","")</f>
        <v>#ERROR!</v>
      </c>
      <c r="AD32" s="49" t="str">
        <f t="shared" si="144"/>
        <v>#ERROR!</v>
      </c>
      <c r="AE32" s="50" t="str">
        <f t="shared" si="144"/>
        <v>#ERROR!</v>
      </c>
      <c r="AF32" s="48" t="str">
        <f t="shared" ref="AF32:AH32" si="145">IF($Y32=AF$3,"I","")</f>
        <v>#ERROR!</v>
      </c>
      <c r="AG32" s="49" t="str">
        <f t="shared" si="145"/>
        <v>#ERROR!</v>
      </c>
      <c r="AH32" s="50" t="str">
        <f t="shared" si="145"/>
        <v>#ERROR!</v>
      </c>
      <c r="AI32" s="48" t="str">
        <f t="shared" ref="AI32:AK32" si="146">IF($Y32=AI$3,"A","")</f>
        <v>#ERROR!</v>
      </c>
      <c r="AJ32" s="49" t="str">
        <f t="shared" si="146"/>
        <v>#ERROR!</v>
      </c>
      <c r="AK32" s="50" t="str">
        <f t="shared" si="146"/>
        <v>#ERROR!</v>
      </c>
      <c r="AL32" s="48" t="str">
        <f t="shared" ref="AL32:AN32" si="147">IF($Y32=AL$3,"M","")</f>
        <v>#ERROR!</v>
      </c>
      <c r="AM32" s="49" t="str">
        <f t="shared" si="147"/>
        <v>#ERROR!</v>
      </c>
      <c r="AN32" s="50" t="str">
        <f t="shared" si="147"/>
        <v>#ERROR!</v>
      </c>
    </row>
    <row r="33" ht="15.75" customHeight="1">
      <c r="A33" s="1"/>
      <c r="B33" s="31" t="s">
        <v>123</v>
      </c>
      <c r="C33" s="32" t="s">
        <v>11</v>
      </c>
      <c r="D33" s="33">
        <f t="shared" si="1"/>
        <v>2</v>
      </c>
      <c r="E33" s="34" t="str">
        <f>VLOOKUP(B33,[1]!Magic_Structure,2,FALSE)</f>
        <v>#ERROR!</v>
      </c>
      <c r="F33" s="35">
        <f>5*SUM(IF(L3&lt;&gt;"None",L4,0),IF(L12&lt;&gt;"None",L13,0),IF(L21&lt;&gt;"None",L22,0),IF(P3&lt;&gt;"None",P4,0),IF(P12&lt;&gt;"None",P13,0),IF(P21&lt;&gt;"None",P22,0))</f>
        <v>0</v>
      </c>
      <c r="G33" s="1"/>
      <c r="H33" s="1"/>
      <c r="I33" s="1"/>
      <c r="J33" s="1"/>
      <c r="K33" s="68" t="s">
        <v>124</v>
      </c>
      <c r="L33" s="15"/>
      <c r="M33" s="15"/>
      <c r="N33" s="15"/>
      <c r="O33" s="15"/>
      <c r="P33" s="16"/>
      <c r="Q33" s="75"/>
      <c r="R33" s="1"/>
      <c r="S33" s="25" t="s">
        <v>26</v>
      </c>
      <c r="T33" s="26" t="s">
        <v>41</v>
      </c>
      <c r="U33" s="27" t="str">
        <f>VLOOKUP(T33,X4:Y136,2,FALSE)</f>
        <v>#ERROR!</v>
      </c>
      <c r="V33" s="13"/>
      <c r="W33" s="25" t="s">
        <v>18</v>
      </c>
      <c r="X33" s="26" t="s">
        <v>71</v>
      </c>
      <c r="Y33" s="27" t="str">
        <f>VLOOKUP(X33,[1]!Magic_Energies,2,FALSE)</f>
        <v>#ERROR!</v>
      </c>
      <c r="Z33" s="48" t="str">
        <f t="shared" ref="Z33:AB33" si="148">IF($Y33=Z$3,"S","")</f>
        <v>#ERROR!</v>
      </c>
      <c r="AA33" s="49" t="str">
        <f t="shared" si="148"/>
        <v>#ERROR!</v>
      </c>
      <c r="AB33" s="50" t="str">
        <f t="shared" si="148"/>
        <v>#ERROR!</v>
      </c>
      <c r="AC33" s="48" t="str">
        <f t="shared" ref="AC33:AE33" si="149">IF($Y33=AC$3,"B","")</f>
        <v>#ERROR!</v>
      </c>
      <c r="AD33" s="49" t="str">
        <f t="shared" si="149"/>
        <v>#ERROR!</v>
      </c>
      <c r="AE33" s="50" t="str">
        <f t="shared" si="149"/>
        <v>#ERROR!</v>
      </c>
      <c r="AF33" s="48" t="str">
        <f t="shared" ref="AF33:AH33" si="150">IF($Y33=AF$3,"I","")</f>
        <v>#ERROR!</v>
      </c>
      <c r="AG33" s="49" t="str">
        <f t="shared" si="150"/>
        <v>#ERROR!</v>
      </c>
      <c r="AH33" s="50" t="str">
        <f t="shared" si="150"/>
        <v>#ERROR!</v>
      </c>
      <c r="AI33" s="48" t="str">
        <f t="shared" ref="AI33:AK33" si="151">IF($Y33=AI$3,"A","")</f>
        <v>#ERROR!</v>
      </c>
      <c r="AJ33" s="49" t="str">
        <f t="shared" si="151"/>
        <v>#ERROR!</v>
      </c>
      <c r="AK33" s="50" t="str">
        <f t="shared" si="151"/>
        <v>#ERROR!</v>
      </c>
      <c r="AL33" s="48" t="str">
        <f t="shared" ref="AL33:AN33" si="152">IF($Y33=AL$3,"M","")</f>
        <v>#ERROR!</v>
      </c>
      <c r="AM33" s="49" t="str">
        <f t="shared" si="152"/>
        <v>#ERROR!</v>
      </c>
      <c r="AN33" s="50" t="str">
        <f t="shared" si="152"/>
        <v>#ERROR!</v>
      </c>
    </row>
    <row r="34" ht="15.75" customHeight="1">
      <c r="A34" s="1"/>
      <c r="B34" s="31" t="s">
        <v>125</v>
      </c>
      <c r="C34" s="32" t="s">
        <v>12</v>
      </c>
      <c r="D34" s="33">
        <f t="shared" si="1"/>
        <v>3</v>
      </c>
      <c r="E34" s="34" t="str">
        <f>VLOOKUP(B34,[1]!Magic_Structure,2,FALSE)</f>
        <v>#ERROR!</v>
      </c>
      <c r="F34" s="35">
        <f>(M4+M5+M6+M7)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5" t="s">
        <v>26</v>
      </c>
      <c r="T34" s="26" t="s">
        <v>96</v>
      </c>
      <c r="U34" s="27" t="str">
        <f>VLOOKUP(T34,X4:Y136,2,FALSE)</f>
        <v>#ERROR!</v>
      </c>
      <c r="V34" s="13"/>
      <c r="W34" s="25" t="s">
        <v>26</v>
      </c>
      <c r="X34" s="26" t="s">
        <v>126</v>
      </c>
      <c r="Y34" s="27" t="str">
        <f>VLOOKUP(X34,[1]!Magic_Energies,2,FALSE)</f>
        <v>#ERROR!</v>
      </c>
      <c r="Z34" s="48" t="str">
        <f t="shared" ref="Z34:AB34" si="153">IF($Y34=Z$3,"S","")</f>
        <v>#ERROR!</v>
      </c>
      <c r="AA34" s="49" t="str">
        <f t="shared" si="153"/>
        <v>#ERROR!</v>
      </c>
      <c r="AB34" s="50" t="str">
        <f t="shared" si="153"/>
        <v>#ERROR!</v>
      </c>
      <c r="AC34" s="48" t="str">
        <f t="shared" ref="AC34:AE34" si="154">IF($Y34=AC$3,"B","")</f>
        <v>#ERROR!</v>
      </c>
      <c r="AD34" s="49" t="str">
        <f t="shared" si="154"/>
        <v>#ERROR!</v>
      </c>
      <c r="AE34" s="50" t="str">
        <f t="shared" si="154"/>
        <v>#ERROR!</v>
      </c>
      <c r="AF34" s="48" t="str">
        <f t="shared" ref="AF34:AH34" si="155">IF($Y34=AF$3,"I","")</f>
        <v>#ERROR!</v>
      </c>
      <c r="AG34" s="49" t="str">
        <f t="shared" si="155"/>
        <v>#ERROR!</v>
      </c>
      <c r="AH34" s="50" t="str">
        <f t="shared" si="155"/>
        <v>#ERROR!</v>
      </c>
      <c r="AI34" s="48" t="str">
        <f t="shared" ref="AI34:AK34" si="156">IF($Y34=AI$3,"A","")</f>
        <v>#ERROR!</v>
      </c>
      <c r="AJ34" s="49" t="str">
        <f t="shared" si="156"/>
        <v>#ERROR!</v>
      </c>
      <c r="AK34" s="50" t="str">
        <f t="shared" si="156"/>
        <v>#ERROR!</v>
      </c>
      <c r="AL34" s="48" t="str">
        <f t="shared" ref="AL34:AN34" si="157">IF($Y34=AL$3,"M","")</f>
        <v>#ERROR!</v>
      </c>
      <c r="AM34" s="49" t="str">
        <f t="shared" si="157"/>
        <v>#ERROR!</v>
      </c>
      <c r="AN34" s="50" t="str">
        <f t="shared" si="157"/>
        <v>#ERROR!</v>
      </c>
    </row>
    <row r="35" ht="15.75" customHeight="1">
      <c r="A35" s="1"/>
      <c r="B35" s="31" t="s">
        <v>127</v>
      </c>
      <c r="C35" s="32" t="s">
        <v>12</v>
      </c>
      <c r="D35" s="33">
        <f t="shared" si="1"/>
        <v>3</v>
      </c>
      <c r="E35" s="34" t="str">
        <f>VLOOKUP(B35,[1]!Magic_Structure,2,FALSE)</f>
        <v>#ERROR!</v>
      </c>
      <c r="F35" s="35">
        <f>I2*(M4+M5+M6+M7)</f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5" t="s">
        <v>26</v>
      </c>
      <c r="T35" s="26" t="s">
        <v>128</v>
      </c>
      <c r="U35" s="27" t="str">
        <f>VLOOKUP(T35,X4:Y136,2,FALSE)</f>
        <v>#ERROR!</v>
      </c>
      <c r="V35" s="13"/>
      <c r="W35" s="25" t="s">
        <v>18</v>
      </c>
      <c r="X35" s="26" t="s">
        <v>129</v>
      </c>
      <c r="Y35" s="27" t="str">
        <f>VLOOKUP(X35,[1]!Magic_Energies,2,FALSE)</f>
        <v>#ERROR!</v>
      </c>
      <c r="Z35" s="48" t="str">
        <f t="shared" ref="Z35:AB35" si="158">IF($Y35=Z$3,"S","")</f>
        <v>#ERROR!</v>
      </c>
      <c r="AA35" s="49" t="str">
        <f t="shared" si="158"/>
        <v>#ERROR!</v>
      </c>
      <c r="AB35" s="50" t="str">
        <f t="shared" si="158"/>
        <v>#ERROR!</v>
      </c>
      <c r="AC35" s="48" t="str">
        <f t="shared" ref="AC35:AE35" si="159">IF($Y35=AC$3,"B","")</f>
        <v>#ERROR!</v>
      </c>
      <c r="AD35" s="49" t="str">
        <f t="shared" si="159"/>
        <v>#ERROR!</v>
      </c>
      <c r="AE35" s="50" t="str">
        <f t="shared" si="159"/>
        <v>#ERROR!</v>
      </c>
      <c r="AF35" s="48" t="str">
        <f t="shared" ref="AF35:AH35" si="160">IF($Y35=AF$3,"I","")</f>
        <v>#ERROR!</v>
      </c>
      <c r="AG35" s="49" t="str">
        <f t="shared" si="160"/>
        <v>#ERROR!</v>
      </c>
      <c r="AH35" s="50" t="str">
        <f t="shared" si="160"/>
        <v>#ERROR!</v>
      </c>
      <c r="AI35" s="48" t="str">
        <f t="shared" ref="AI35:AK35" si="161">IF($Y35=AI$3,"A","")</f>
        <v>#ERROR!</v>
      </c>
      <c r="AJ35" s="49" t="str">
        <f t="shared" si="161"/>
        <v>#ERROR!</v>
      </c>
      <c r="AK35" s="50" t="str">
        <f t="shared" si="161"/>
        <v>#ERROR!</v>
      </c>
      <c r="AL35" s="48" t="str">
        <f t="shared" ref="AL35:AN35" si="162">IF($Y35=AL$3,"M","")</f>
        <v>#ERROR!</v>
      </c>
      <c r="AM35" s="49" t="str">
        <f t="shared" si="162"/>
        <v>#ERROR!</v>
      </c>
      <c r="AN35" s="50" t="str">
        <f t="shared" si="162"/>
        <v>#ERROR!</v>
      </c>
    </row>
    <row r="36" ht="15.75" customHeight="1">
      <c r="A36" s="1"/>
      <c r="B36" s="31" t="s">
        <v>130</v>
      </c>
      <c r="C36" s="32" t="s">
        <v>13</v>
      </c>
      <c r="D36" s="33">
        <f t="shared" si="1"/>
        <v>4</v>
      </c>
      <c r="E36" s="34" t="str">
        <f>VLOOKUP(B36,[1]!Magic_Structure,2,FALSE)</f>
        <v>#ERROR!</v>
      </c>
      <c r="F36" s="35">
        <f>2*(M4+M5+M6+M7)</f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5" t="s">
        <v>26</v>
      </c>
      <c r="T36" s="26" t="s">
        <v>131</v>
      </c>
      <c r="U36" s="27" t="str">
        <f>VLOOKUP(T36,X4:Y136,2,FALSE)</f>
        <v>#ERROR!</v>
      </c>
      <c r="V36" s="13"/>
      <c r="W36" s="25" t="s">
        <v>26</v>
      </c>
      <c r="X36" s="26" t="s">
        <v>132</v>
      </c>
      <c r="Y36" s="27" t="str">
        <f>VLOOKUP(X36,[1]!Magic_Energies,2,FALSE)</f>
        <v>#ERROR!</v>
      </c>
      <c r="Z36" s="48" t="str">
        <f t="shared" ref="Z36:AB36" si="163">IF($Y36=Z$3,"S","")</f>
        <v>#ERROR!</v>
      </c>
      <c r="AA36" s="49" t="str">
        <f t="shared" si="163"/>
        <v>#ERROR!</v>
      </c>
      <c r="AB36" s="50" t="str">
        <f t="shared" si="163"/>
        <v>#ERROR!</v>
      </c>
      <c r="AC36" s="48" t="str">
        <f t="shared" ref="AC36:AE36" si="164">IF($Y36=AC$3,"B","")</f>
        <v>#ERROR!</v>
      </c>
      <c r="AD36" s="49" t="str">
        <f t="shared" si="164"/>
        <v>#ERROR!</v>
      </c>
      <c r="AE36" s="50" t="str">
        <f t="shared" si="164"/>
        <v>#ERROR!</v>
      </c>
      <c r="AF36" s="48" t="str">
        <f t="shared" ref="AF36:AH36" si="165">IF($Y36=AF$3,"I","")</f>
        <v>#ERROR!</v>
      </c>
      <c r="AG36" s="49" t="str">
        <f t="shared" si="165"/>
        <v>#ERROR!</v>
      </c>
      <c r="AH36" s="50" t="str">
        <f t="shared" si="165"/>
        <v>#ERROR!</v>
      </c>
      <c r="AI36" s="48" t="str">
        <f t="shared" ref="AI36:AK36" si="166">IF($Y36=AI$3,"A","")</f>
        <v>#ERROR!</v>
      </c>
      <c r="AJ36" s="49" t="str">
        <f t="shared" si="166"/>
        <v>#ERROR!</v>
      </c>
      <c r="AK36" s="50" t="str">
        <f t="shared" si="166"/>
        <v>#ERROR!</v>
      </c>
      <c r="AL36" s="48" t="str">
        <f t="shared" ref="AL36:AN36" si="167">IF($Y36=AL$3,"M","")</f>
        <v>#ERROR!</v>
      </c>
      <c r="AM36" s="49" t="str">
        <f t="shared" si="167"/>
        <v>#ERROR!</v>
      </c>
      <c r="AN36" s="50" t="str">
        <f t="shared" si="167"/>
        <v>#ERROR!</v>
      </c>
    </row>
    <row r="37" ht="15.75" customHeight="1">
      <c r="A37" s="1"/>
      <c r="B37" s="31" t="s">
        <v>133</v>
      </c>
      <c r="C37" s="32" t="s">
        <v>13</v>
      </c>
      <c r="D37" s="33">
        <f t="shared" si="1"/>
        <v>4</v>
      </c>
      <c r="E37" s="34" t="str">
        <f>VLOOKUP(B37,[1]!Magic_Structure,2,FALSE)</f>
        <v>#ERROR!</v>
      </c>
      <c r="F37" s="35">
        <f>2*(M4+M5+M6+M7)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5" t="s">
        <v>26</v>
      </c>
      <c r="T37" s="26" t="s">
        <v>134</v>
      </c>
      <c r="U37" s="27" t="str">
        <f>VLOOKUP(T37,X4:Y136,2,FALSE)</f>
        <v>#ERROR!</v>
      </c>
      <c r="V37" s="13"/>
      <c r="W37" s="25" t="s">
        <v>26</v>
      </c>
      <c r="X37" s="26" t="s">
        <v>135</v>
      </c>
      <c r="Y37" s="27" t="str">
        <f>VLOOKUP(X37,[1]!Magic_Energies,2,FALSE)</f>
        <v>#ERROR!</v>
      </c>
      <c r="Z37" s="48" t="str">
        <f t="shared" ref="Z37:AB37" si="168">IF($Y37=Z$3,"S","")</f>
        <v>#ERROR!</v>
      </c>
      <c r="AA37" s="49" t="str">
        <f t="shared" si="168"/>
        <v>#ERROR!</v>
      </c>
      <c r="AB37" s="50" t="str">
        <f t="shared" si="168"/>
        <v>#ERROR!</v>
      </c>
      <c r="AC37" s="48" t="str">
        <f t="shared" ref="AC37:AE37" si="169">IF($Y37=AC$3,"B","")</f>
        <v>#ERROR!</v>
      </c>
      <c r="AD37" s="49" t="str">
        <f t="shared" si="169"/>
        <v>#ERROR!</v>
      </c>
      <c r="AE37" s="50" t="str">
        <f t="shared" si="169"/>
        <v>#ERROR!</v>
      </c>
      <c r="AF37" s="48" t="str">
        <f t="shared" ref="AF37:AH37" si="170">IF($Y37=AF$3,"I","")</f>
        <v>#ERROR!</v>
      </c>
      <c r="AG37" s="49" t="str">
        <f t="shared" si="170"/>
        <v>#ERROR!</v>
      </c>
      <c r="AH37" s="50" t="str">
        <f t="shared" si="170"/>
        <v>#ERROR!</v>
      </c>
      <c r="AI37" s="48" t="str">
        <f t="shared" ref="AI37:AK37" si="171">IF($Y37=AI$3,"A","")</f>
        <v>#ERROR!</v>
      </c>
      <c r="AJ37" s="49" t="str">
        <f t="shared" si="171"/>
        <v>#ERROR!</v>
      </c>
      <c r="AK37" s="50" t="str">
        <f t="shared" si="171"/>
        <v>#ERROR!</v>
      </c>
      <c r="AL37" s="48" t="str">
        <f t="shared" ref="AL37:AN37" si="172">IF($Y37=AL$3,"M","")</f>
        <v>#ERROR!</v>
      </c>
      <c r="AM37" s="49" t="str">
        <f t="shared" si="172"/>
        <v>#ERROR!</v>
      </c>
      <c r="AN37" s="50" t="str">
        <f t="shared" si="172"/>
        <v>#ERROR!</v>
      </c>
    </row>
    <row r="38" ht="15.75" customHeight="1">
      <c r="A38" s="1"/>
      <c r="B38" s="31" t="s">
        <v>136</v>
      </c>
      <c r="C38" s="32" t="s">
        <v>14</v>
      </c>
      <c r="D38" s="33">
        <f t="shared" si="1"/>
        <v>5</v>
      </c>
      <c r="E38" s="34" t="str">
        <f>VLOOKUP(B38,[1]!Magic_Structure,2,FALSE)</f>
        <v>#ERROR!</v>
      </c>
      <c r="F38" s="35">
        <f>2*(M4+M5+M6+M7)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5" t="s">
        <v>26</v>
      </c>
      <c r="T38" s="26" t="s">
        <v>137</v>
      </c>
      <c r="U38" s="27" t="str">
        <f>VLOOKUP(T38,X4:Y136,2,FALSE)</f>
        <v>#ERROR!</v>
      </c>
      <c r="V38" s="13"/>
      <c r="W38" s="25" t="s">
        <v>26</v>
      </c>
      <c r="X38" s="26" t="s">
        <v>138</v>
      </c>
      <c r="Y38" s="27" t="str">
        <f>VLOOKUP(X38,[1]!Magic_Energies,2,FALSE)</f>
        <v>#ERROR!</v>
      </c>
      <c r="Z38" s="48" t="str">
        <f t="shared" ref="Z38:AB38" si="173">IF($Y38=Z$3,"S","")</f>
        <v>#ERROR!</v>
      </c>
      <c r="AA38" s="49" t="str">
        <f t="shared" si="173"/>
        <v>#ERROR!</v>
      </c>
      <c r="AB38" s="50" t="str">
        <f t="shared" si="173"/>
        <v>#ERROR!</v>
      </c>
      <c r="AC38" s="48" t="str">
        <f t="shared" ref="AC38:AE38" si="174">IF($Y38=AC$3,"B","")</f>
        <v>#ERROR!</v>
      </c>
      <c r="AD38" s="49" t="str">
        <f t="shared" si="174"/>
        <v>#ERROR!</v>
      </c>
      <c r="AE38" s="50" t="str">
        <f t="shared" si="174"/>
        <v>#ERROR!</v>
      </c>
      <c r="AF38" s="48" t="str">
        <f t="shared" ref="AF38:AH38" si="175">IF($Y38=AF$3,"I","")</f>
        <v>#ERROR!</v>
      </c>
      <c r="AG38" s="49" t="str">
        <f t="shared" si="175"/>
        <v>#ERROR!</v>
      </c>
      <c r="AH38" s="50" t="str">
        <f t="shared" si="175"/>
        <v>#ERROR!</v>
      </c>
      <c r="AI38" s="48" t="str">
        <f t="shared" ref="AI38:AK38" si="176">IF($Y38=AI$3,"A","")</f>
        <v>#ERROR!</v>
      </c>
      <c r="AJ38" s="49" t="str">
        <f t="shared" si="176"/>
        <v>#ERROR!</v>
      </c>
      <c r="AK38" s="50" t="str">
        <f t="shared" si="176"/>
        <v>#ERROR!</v>
      </c>
      <c r="AL38" s="48" t="str">
        <f t="shared" ref="AL38:AN38" si="177">IF($Y38=AL$3,"M","")</f>
        <v>#ERROR!</v>
      </c>
      <c r="AM38" s="49" t="str">
        <f t="shared" si="177"/>
        <v>#ERROR!</v>
      </c>
      <c r="AN38" s="50" t="str">
        <f t="shared" si="177"/>
        <v>#ERROR!</v>
      </c>
    </row>
    <row r="39" ht="15.75" customHeight="1">
      <c r="A39" s="1"/>
      <c r="B39" s="43" t="s">
        <v>139</v>
      </c>
      <c r="C39" s="44" t="s">
        <v>14</v>
      </c>
      <c r="D39" s="45">
        <f t="shared" si="1"/>
        <v>5</v>
      </c>
      <c r="E39" s="46" t="str">
        <f>VLOOKUP(B39,[1]!Magic_Structure,2,FALSE)</f>
        <v>#ERROR!</v>
      </c>
      <c r="F39" s="47">
        <f>2*(M4+M5+M6+M7)</f>
        <v>0</v>
      </c>
      <c r="G39" s="1"/>
      <c r="H39" s="1"/>
      <c r="I39" s="1"/>
      <c r="J39" s="1"/>
      <c r="K39" s="68" t="s">
        <v>140</v>
      </c>
      <c r="L39" s="15"/>
      <c r="M39" s="15"/>
      <c r="N39" s="15"/>
      <c r="O39" s="16"/>
      <c r="P39" s="76">
        <f>MAX(M3,M12,M21,Q3,Q12,Q21)</f>
        <v>0</v>
      </c>
      <c r="Q39" s="76">
        <f>IF(P39&gt;=60,5,IF(P39&gt;=25,4,IF(P39&gt;=10,3,IF(P39&gt;=4,2,1))))</f>
        <v>1</v>
      </c>
      <c r="R39" s="1"/>
      <c r="S39" s="25" t="s">
        <v>26</v>
      </c>
      <c r="T39" s="26" t="s">
        <v>141</v>
      </c>
      <c r="U39" s="27" t="str">
        <f>VLOOKUP(T39,X4:Y136,2,FALSE)</f>
        <v>#ERROR!</v>
      </c>
      <c r="V39" s="13"/>
      <c r="W39" s="25" t="s">
        <v>18</v>
      </c>
      <c r="X39" s="26" t="s">
        <v>142</v>
      </c>
      <c r="Y39" s="27" t="str">
        <f>VLOOKUP(X39,[1]!Magic_Energies,2,FALSE)</f>
        <v>#ERROR!</v>
      </c>
      <c r="Z39" s="48" t="str">
        <f t="shared" ref="Z39:AB39" si="178">IF($Y39=Z$3,"S","")</f>
        <v>#ERROR!</v>
      </c>
      <c r="AA39" s="49" t="str">
        <f t="shared" si="178"/>
        <v>#ERROR!</v>
      </c>
      <c r="AB39" s="50" t="str">
        <f t="shared" si="178"/>
        <v>#ERROR!</v>
      </c>
      <c r="AC39" s="48" t="str">
        <f t="shared" ref="AC39:AE39" si="179">IF($Y39=AC$3,"B","")</f>
        <v>#ERROR!</v>
      </c>
      <c r="AD39" s="49" t="str">
        <f t="shared" si="179"/>
        <v>#ERROR!</v>
      </c>
      <c r="AE39" s="50" t="str">
        <f t="shared" si="179"/>
        <v>#ERROR!</v>
      </c>
      <c r="AF39" s="48" t="str">
        <f t="shared" ref="AF39:AH39" si="180">IF($Y39=AF$3,"I","")</f>
        <v>#ERROR!</v>
      </c>
      <c r="AG39" s="49" t="str">
        <f t="shared" si="180"/>
        <v>#ERROR!</v>
      </c>
      <c r="AH39" s="50" t="str">
        <f t="shared" si="180"/>
        <v>#ERROR!</v>
      </c>
      <c r="AI39" s="48" t="str">
        <f t="shared" ref="AI39:AK39" si="181">IF($Y39=AI$3,"A","")</f>
        <v>#ERROR!</v>
      </c>
      <c r="AJ39" s="49" t="str">
        <f t="shared" si="181"/>
        <v>#ERROR!</v>
      </c>
      <c r="AK39" s="50" t="str">
        <f t="shared" si="181"/>
        <v>#ERROR!</v>
      </c>
      <c r="AL39" s="48" t="str">
        <f t="shared" ref="AL39:AN39" si="182">IF($Y39=AL$3,"M","")</f>
        <v>#ERROR!</v>
      </c>
      <c r="AM39" s="49" t="str">
        <f t="shared" si="182"/>
        <v>#ERROR!</v>
      </c>
      <c r="AN39" s="50" t="str">
        <f t="shared" si="182"/>
        <v>#ERROR!</v>
      </c>
    </row>
    <row r="40" ht="15.75" customHeight="1">
      <c r="A40" s="1"/>
      <c r="B40" s="1" t="s">
        <v>143</v>
      </c>
      <c r="C40" s="1" t="s">
        <v>14</v>
      </c>
      <c r="D40" s="1">
        <f t="shared" si="1"/>
        <v>5</v>
      </c>
      <c r="E40" s="46" t="s">
        <v>144</v>
      </c>
      <c r="F40" s="1">
        <v>0.0</v>
      </c>
      <c r="G40" s="1"/>
      <c r="H40" s="1"/>
      <c r="I40" s="1"/>
      <c r="J40" s="1"/>
      <c r="K40" s="68" t="s">
        <v>145</v>
      </c>
      <c r="L40" s="15"/>
      <c r="M40" s="15"/>
      <c r="N40" s="15"/>
      <c r="O40" s="15"/>
      <c r="P40" s="77"/>
      <c r="Q40" s="76">
        <f>MAX(VLOOKUP(L5,B3:D5,3,FALSE),VLOOKUP(L14,B3:D5,3,FALSE),VLOOKUP(L23,B3:D5,3,FALSE),VLOOKUP(P5,B3:D5,3,FALSE),VLOOKUP(P14,B3:D5,3,FALSE),VLOOKUP(P23,B3:D5,3,FALSE))</f>
        <v>1</v>
      </c>
      <c r="R40" s="1"/>
      <c r="S40" s="25" t="s">
        <v>26</v>
      </c>
      <c r="T40" s="26" t="s">
        <v>146</v>
      </c>
      <c r="U40" s="27" t="str">
        <f>VLOOKUP(T40,X4:Y136,2,FALSE)</f>
        <v>#ERROR!</v>
      </c>
      <c r="V40" s="13"/>
      <c r="W40" s="25" t="s">
        <v>26</v>
      </c>
      <c r="X40" s="26" t="s">
        <v>107</v>
      </c>
      <c r="Y40" s="27" t="str">
        <f>VLOOKUP(X40,[1]!Magic_Energies,2,FALSE)</f>
        <v>#ERROR!</v>
      </c>
      <c r="Z40" s="48" t="str">
        <f t="shared" ref="Z40:AB40" si="183">IF($Y40=Z$3,"S","")</f>
        <v>#ERROR!</v>
      </c>
      <c r="AA40" s="49" t="str">
        <f t="shared" si="183"/>
        <v>#ERROR!</v>
      </c>
      <c r="AB40" s="50" t="str">
        <f t="shared" si="183"/>
        <v>#ERROR!</v>
      </c>
      <c r="AC40" s="48" t="str">
        <f t="shared" ref="AC40:AE40" si="184">IF($Y40=AC$3,"B","")</f>
        <v>#ERROR!</v>
      </c>
      <c r="AD40" s="49" t="str">
        <f t="shared" si="184"/>
        <v>#ERROR!</v>
      </c>
      <c r="AE40" s="50" t="str">
        <f t="shared" si="184"/>
        <v>#ERROR!</v>
      </c>
      <c r="AF40" s="48" t="str">
        <f t="shared" ref="AF40:AH40" si="185">IF($Y40=AF$3,"I","")</f>
        <v>#ERROR!</v>
      </c>
      <c r="AG40" s="49" t="str">
        <f t="shared" si="185"/>
        <v>#ERROR!</v>
      </c>
      <c r="AH40" s="50" t="str">
        <f t="shared" si="185"/>
        <v>#ERROR!</v>
      </c>
      <c r="AI40" s="48" t="str">
        <f t="shared" ref="AI40:AK40" si="186">IF($Y40=AI$3,"A","")</f>
        <v>#ERROR!</v>
      </c>
      <c r="AJ40" s="49" t="str">
        <f t="shared" si="186"/>
        <v>#ERROR!</v>
      </c>
      <c r="AK40" s="50" t="str">
        <f t="shared" si="186"/>
        <v>#ERROR!</v>
      </c>
      <c r="AL40" s="48" t="str">
        <f t="shared" ref="AL40:AN40" si="187">IF($Y40=AL$3,"M","")</f>
        <v>#ERROR!</v>
      </c>
      <c r="AM40" s="49" t="str">
        <f t="shared" si="187"/>
        <v>#ERROR!</v>
      </c>
      <c r="AN40" s="50" t="str">
        <f t="shared" si="187"/>
        <v>#ERROR!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68" t="s">
        <v>147</v>
      </c>
      <c r="L41" s="15"/>
      <c r="M41" s="15"/>
      <c r="N41" s="15"/>
      <c r="O41" s="15"/>
      <c r="P41" s="77"/>
      <c r="Q41" s="76">
        <f>MAX(VLOOKUP(L6,B7:D11,3,FALSE),VLOOKUP(L15,B7:D11,3,FALSE),VLOOKUP(L24,B7:D11,3,FALSE),VLOOKUP(P6,B7:D11,3,FALSE),VLOOKUP(P15,B7:D11,3,FALSE),VLOOKUP(P24,B7:D11,3,FALSE))</f>
        <v>1</v>
      </c>
      <c r="R41" s="1"/>
      <c r="S41" s="25" t="s">
        <v>52</v>
      </c>
      <c r="T41" s="26" t="s">
        <v>148</v>
      </c>
      <c r="U41" s="27" t="str">
        <f>VLOOKUP(T41,X4:Y136,2,FALSE)</f>
        <v>#ERROR!</v>
      </c>
      <c r="V41" s="13"/>
      <c r="W41" s="25" t="s">
        <v>26</v>
      </c>
      <c r="X41" s="26" t="s">
        <v>128</v>
      </c>
      <c r="Y41" s="27" t="str">
        <f>VLOOKUP(X41,[1]!Magic_Energies,2,FALSE)</f>
        <v>#ERROR!</v>
      </c>
      <c r="Z41" s="48" t="str">
        <f t="shared" ref="Z41:AB41" si="188">IF($Y41=Z$3,"S","")</f>
        <v>#ERROR!</v>
      </c>
      <c r="AA41" s="49" t="str">
        <f t="shared" si="188"/>
        <v>#ERROR!</v>
      </c>
      <c r="AB41" s="50" t="str">
        <f t="shared" si="188"/>
        <v>#ERROR!</v>
      </c>
      <c r="AC41" s="48" t="str">
        <f t="shared" ref="AC41:AE41" si="189">IF($Y41=AC$3,"B","")</f>
        <v>#ERROR!</v>
      </c>
      <c r="AD41" s="49" t="str">
        <f t="shared" si="189"/>
        <v>#ERROR!</v>
      </c>
      <c r="AE41" s="50" t="str">
        <f t="shared" si="189"/>
        <v>#ERROR!</v>
      </c>
      <c r="AF41" s="48" t="str">
        <f t="shared" ref="AF41:AH41" si="190">IF($Y41=AF$3,"I","")</f>
        <v>#ERROR!</v>
      </c>
      <c r="AG41" s="49" t="str">
        <f t="shared" si="190"/>
        <v>#ERROR!</v>
      </c>
      <c r="AH41" s="50" t="str">
        <f t="shared" si="190"/>
        <v>#ERROR!</v>
      </c>
      <c r="AI41" s="48" t="str">
        <f t="shared" ref="AI41:AK41" si="191">IF($Y41=AI$3,"A","")</f>
        <v>#ERROR!</v>
      </c>
      <c r="AJ41" s="49" t="str">
        <f t="shared" si="191"/>
        <v>#ERROR!</v>
      </c>
      <c r="AK41" s="50" t="str">
        <f t="shared" si="191"/>
        <v>#ERROR!</v>
      </c>
      <c r="AL41" s="48" t="str">
        <f t="shared" ref="AL41:AN41" si="192">IF($Y41=AL$3,"M","")</f>
        <v>#ERROR!</v>
      </c>
      <c r="AM41" s="49" t="str">
        <f t="shared" si="192"/>
        <v>#ERROR!</v>
      </c>
      <c r="AN41" s="50" t="str">
        <f t="shared" si="192"/>
        <v>#ERROR!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68" t="s">
        <v>149</v>
      </c>
      <c r="L42" s="15"/>
      <c r="M42" s="15"/>
      <c r="N42" s="15"/>
      <c r="O42" s="15"/>
      <c r="P42" s="77"/>
      <c r="Q42" s="76">
        <f>MAX(VLOOKUP(L7,B13:D27,3,FALSE),VLOOKUP(L16,B13:D27,3,FALSE),VLOOKUP(L25,B13:D27,3,FALSE),VLOOKUP(P7,B13:D27,3,FALSE),VLOOKUP(P16,B13:D27,3,FALSE),VLOOKUP(P25,B13:D27,3,FALSE))</f>
        <v>1</v>
      </c>
      <c r="R42" s="1"/>
      <c r="S42" s="25" t="s">
        <v>18</v>
      </c>
      <c r="T42" s="26" t="s">
        <v>150</v>
      </c>
      <c r="U42" s="27" t="str">
        <f>VLOOKUP(T42,X4:Y136,2,FALSE)</f>
        <v>#ERROR!</v>
      </c>
      <c r="V42" s="13"/>
      <c r="W42" s="25" t="s">
        <v>26</v>
      </c>
      <c r="X42" s="26" t="s">
        <v>151</v>
      </c>
      <c r="Y42" s="27" t="str">
        <f>VLOOKUP(X42,[1]!Magic_Energies,2,FALSE)</f>
        <v>#ERROR!</v>
      </c>
      <c r="Z42" s="48" t="str">
        <f t="shared" ref="Z42:AB42" si="193">IF($Y42=Z$3,"S","")</f>
        <v>#ERROR!</v>
      </c>
      <c r="AA42" s="49" t="str">
        <f t="shared" si="193"/>
        <v>#ERROR!</v>
      </c>
      <c r="AB42" s="50" t="str">
        <f t="shared" si="193"/>
        <v>#ERROR!</v>
      </c>
      <c r="AC42" s="48" t="str">
        <f t="shared" ref="AC42:AE42" si="194">IF($Y42=AC$3,"B","")</f>
        <v>#ERROR!</v>
      </c>
      <c r="AD42" s="49" t="str">
        <f t="shared" si="194"/>
        <v>#ERROR!</v>
      </c>
      <c r="AE42" s="50" t="str">
        <f t="shared" si="194"/>
        <v>#ERROR!</v>
      </c>
      <c r="AF42" s="48" t="str">
        <f t="shared" ref="AF42:AH42" si="195">IF($Y42=AF$3,"I","")</f>
        <v>#ERROR!</v>
      </c>
      <c r="AG42" s="49" t="str">
        <f t="shared" si="195"/>
        <v>#ERROR!</v>
      </c>
      <c r="AH42" s="50" t="str">
        <f t="shared" si="195"/>
        <v>#ERROR!</v>
      </c>
      <c r="AI42" s="48" t="str">
        <f t="shared" ref="AI42:AK42" si="196">IF($Y42=AI$3,"A","")</f>
        <v>#ERROR!</v>
      </c>
      <c r="AJ42" s="49" t="str">
        <f t="shared" si="196"/>
        <v>#ERROR!</v>
      </c>
      <c r="AK42" s="50" t="str">
        <f t="shared" si="196"/>
        <v>#ERROR!</v>
      </c>
      <c r="AL42" s="48" t="str">
        <f t="shared" ref="AL42:AN42" si="197">IF($Y42=AL$3,"M","")</f>
        <v>#ERROR!</v>
      </c>
      <c r="AM42" s="49" t="str">
        <f t="shared" si="197"/>
        <v>#ERROR!</v>
      </c>
      <c r="AN42" s="50" t="str">
        <f t="shared" si="197"/>
        <v>#ERROR!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68" t="s">
        <v>152</v>
      </c>
      <c r="L43" s="15"/>
      <c r="M43" s="15"/>
      <c r="N43" s="15"/>
      <c r="O43" s="15"/>
      <c r="P43" s="77"/>
      <c r="Q43" s="76">
        <f>MAX(VLOOKUP(L8,B29:D39,3,FALSE),VLOOKUP(L17,B29:D39,3,FALSE),VLOOKUP(L26,B29:D39,3,FALSE),VLOOKUP(P8,B29:D39,3,FALSE),VLOOKUP(P17,B29:D39,3,FALSE),VLOOKUP(P26,B29:D39,3,FALSE))</f>
        <v>0</v>
      </c>
      <c r="R43" s="1"/>
      <c r="S43" s="25" t="s">
        <v>18</v>
      </c>
      <c r="T43" s="26" t="s">
        <v>45</v>
      </c>
      <c r="U43" s="27" t="str">
        <f>VLOOKUP(T43,X4:Y136,2,FALSE)</f>
        <v>#ERROR!</v>
      </c>
      <c r="V43" s="13"/>
      <c r="W43" s="25" t="s">
        <v>26</v>
      </c>
      <c r="X43" s="26" t="s">
        <v>153</v>
      </c>
      <c r="Y43" s="27" t="str">
        <f>VLOOKUP(X43,[1]!Magic_Energies,2,FALSE)</f>
        <v>#ERROR!</v>
      </c>
      <c r="Z43" s="48" t="str">
        <f t="shared" ref="Z43:AB43" si="198">IF($Y43=Z$3,"S","")</f>
        <v>#ERROR!</v>
      </c>
      <c r="AA43" s="49" t="str">
        <f t="shared" si="198"/>
        <v>#ERROR!</v>
      </c>
      <c r="AB43" s="50" t="str">
        <f t="shared" si="198"/>
        <v>#ERROR!</v>
      </c>
      <c r="AC43" s="48" t="str">
        <f t="shared" ref="AC43:AE43" si="199">IF($Y43=AC$3,"B","")</f>
        <v>#ERROR!</v>
      </c>
      <c r="AD43" s="49" t="str">
        <f t="shared" si="199"/>
        <v>#ERROR!</v>
      </c>
      <c r="AE43" s="50" t="str">
        <f t="shared" si="199"/>
        <v>#ERROR!</v>
      </c>
      <c r="AF43" s="48" t="str">
        <f t="shared" ref="AF43:AH43" si="200">IF($Y43=AF$3,"I","")</f>
        <v>#ERROR!</v>
      </c>
      <c r="AG43" s="49" t="str">
        <f t="shared" si="200"/>
        <v>#ERROR!</v>
      </c>
      <c r="AH43" s="50" t="str">
        <f t="shared" si="200"/>
        <v>#ERROR!</v>
      </c>
      <c r="AI43" s="48" t="str">
        <f t="shared" ref="AI43:AK43" si="201">IF($Y43=AI$3,"A","")</f>
        <v>#ERROR!</v>
      </c>
      <c r="AJ43" s="49" t="str">
        <f t="shared" si="201"/>
        <v>#ERROR!</v>
      </c>
      <c r="AK43" s="50" t="str">
        <f t="shared" si="201"/>
        <v>#ERROR!</v>
      </c>
      <c r="AL43" s="48" t="str">
        <f t="shared" ref="AL43:AN43" si="202">IF($Y43=AL$3,"M","")</f>
        <v>#ERROR!</v>
      </c>
      <c r="AM43" s="49" t="str">
        <f t="shared" si="202"/>
        <v>#ERROR!</v>
      </c>
      <c r="AN43" s="50" t="str">
        <f t="shared" si="202"/>
        <v>#ERROR!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68" t="s">
        <v>154</v>
      </c>
      <c r="L44" s="15"/>
      <c r="M44" s="15"/>
      <c r="N44" s="15"/>
      <c r="O44" s="15"/>
      <c r="P44" s="77"/>
      <c r="Q44" s="76">
        <f>MAX(Q39:Q43)</f>
        <v>1</v>
      </c>
      <c r="R44" s="1"/>
      <c r="S44" s="25" t="s">
        <v>26</v>
      </c>
      <c r="T44" s="26" t="s">
        <v>126</v>
      </c>
      <c r="U44" s="27" t="str">
        <f>VLOOKUP(T44,X4:Y136,2,FALSE)</f>
        <v>#ERROR!</v>
      </c>
      <c r="V44" s="13"/>
      <c r="W44" s="25" t="s">
        <v>26</v>
      </c>
      <c r="X44" s="26" t="s">
        <v>155</v>
      </c>
      <c r="Y44" s="27" t="str">
        <f>VLOOKUP(X44,[1]!Magic_Energies,2,FALSE)</f>
        <v>#ERROR!</v>
      </c>
      <c r="Z44" s="48" t="str">
        <f t="shared" ref="Z44:AB44" si="203">IF($Y44=Z$3,"S","")</f>
        <v>#ERROR!</v>
      </c>
      <c r="AA44" s="49" t="str">
        <f t="shared" si="203"/>
        <v>#ERROR!</v>
      </c>
      <c r="AB44" s="50" t="str">
        <f t="shared" si="203"/>
        <v>#ERROR!</v>
      </c>
      <c r="AC44" s="48" t="str">
        <f t="shared" ref="AC44:AE44" si="204">IF($Y44=AC$3,"B","")</f>
        <v>#ERROR!</v>
      </c>
      <c r="AD44" s="49" t="str">
        <f t="shared" si="204"/>
        <v>#ERROR!</v>
      </c>
      <c r="AE44" s="50" t="str">
        <f t="shared" si="204"/>
        <v>#ERROR!</v>
      </c>
      <c r="AF44" s="48" t="str">
        <f t="shared" ref="AF44:AH44" si="205">IF($Y44=AF$3,"I","")</f>
        <v>#ERROR!</v>
      </c>
      <c r="AG44" s="49" t="str">
        <f t="shared" si="205"/>
        <v>#ERROR!</v>
      </c>
      <c r="AH44" s="50" t="str">
        <f t="shared" si="205"/>
        <v>#ERROR!</v>
      </c>
      <c r="AI44" s="48" t="str">
        <f t="shared" ref="AI44:AK44" si="206">IF($Y44=AI$3,"A","")</f>
        <v>#ERROR!</v>
      </c>
      <c r="AJ44" s="49" t="str">
        <f t="shared" si="206"/>
        <v>#ERROR!</v>
      </c>
      <c r="AK44" s="50" t="str">
        <f t="shared" si="206"/>
        <v>#ERROR!</v>
      </c>
      <c r="AL44" s="48" t="str">
        <f t="shared" ref="AL44:AN44" si="207">IF($Y44=AL$3,"M","")</f>
        <v>#ERROR!</v>
      </c>
      <c r="AM44" s="49" t="str">
        <f t="shared" si="207"/>
        <v>#ERROR!</v>
      </c>
      <c r="AN44" s="50" t="str">
        <f t="shared" si="207"/>
        <v>#ERROR!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5" t="s">
        <v>26</v>
      </c>
      <c r="T45" s="26" t="s">
        <v>156</v>
      </c>
      <c r="U45" s="27" t="str">
        <f>VLOOKUP(T45,X4:Y136,2,FALSE)</f>
        <v>#ERROR!</v>
      </c>
      <c r="V45" s="13"/>
      <c r="W45" s="25" t="s">
        <v>26</v>
      </c>
      <c r="X45" s="26" t="s">
        <v>157</v>
      </c>
      <c r="Y45" s="27" t="str">
        <f>VLOOKUP(X45,[1]!Magic_Energies,2,FALSE)</f>
        <v>#ERROR!</v>
      </c>
      <c r="Z45" s="48" t="str">
        <f t="shared" ref="Z45:AB45" si="208">IF($Y45=Z$3,"S","")</f>
        <v>#ERROR!</v>
      </c>
      <c r="AA45" s="49" t="str">
        <f t="shared" si="208"/>
        <v>#ERROR!</v>
      </c>
      <c r="AB45" s="50" t="str">
        <f t="shared" si="208"/>
        <v>#ERROR!</v>
      </c>
      <c r="AC45" s="48" t="str">
        <f t="shared" ref="AC45:AE45" si="209">IF($Y45=AC$3,"B","")</f>
        <v>#ERROR!</v>
      </c>
      <c r="AD45" s="49" t="str">
        <f t="shared" si="209"/>
        <v>#ERROR!</v>
      </c>
      <c r="AE45" s="50" t="str">
        <f t="shared" si="209"/>
        <v>#ERROR!</v>
      </c>
      <c r="AF45" s="48" t="str">
        <f t="shared" ref="AF45:AH45" si="210">IF($Y45=AF$3,"I","")</f>
        <v>#ERROR!</v>
      </c>
      <c r="AG45" s="49" t="str">
        <f t="shared" si="210"/>
        <v>#ERROR!</v>
      </c>
      <c r="AH45" s="50" t="str">
        <f t="shared" si="210"/>
        <v>#ERROR!</v>
      </c>
      <c r="AI45" s="48" t="str">
        <f t="shared" ref="AI45:AK45" si="211">IF($Y45=AI$3,"A","")</f>
        <v>#ERROR!</v>
      </c>
      <c r="AJ45" s="49" t="str">
        <f t="shared" si="211"/>
        <v>#ERROR!</v>
      </c>
      <c r="AK45" s="50" t="str">
        <f t="shared" si="211"/>
        <v>#ERROR!</v>
      </c>
      <c r="AL45" s="48" t="str">
        <f t="shared" ref="AL45:AN45" si="212">IF($Y45=AL$3,"M","")</f>
        <v>#ERROR!</v>
      </c>
      <c r="AM45" s="49" t="str">
        <f t="shared" si="212"/>
        <v>#ERROR!</v>
      </c>
      <c r="AN45" s="50" t="str">
        <f t="shared" si="212"/>
        <v>#ERROR!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5" t="s">
        <v>26</v>
      </c>
      <c r="T46" s="26" t="s">
        <v>64</v>
      </c>
      <c r="U46" s="27" t="str">
        <f>VLOOKUP(T46,X4:Y136,2,FALSE)</f>
        <v>#ERROR!</v>
      </c>
      <c r="V46" s="13"/>
      <c r="W46" s="25" t="s">
        <v>26</v>
      </c>
      <c r="X46" s="26" t="s">
        <v>158</v>
      </c>
      <c r="Y46" s="27" t="str">
        <f>VLOOKUP(X46,[1]!Magic_Energies,2,FALSE)</f>
        <v>#ERROR!</v>
      </c>
      <c r="Z46" s="48" t="str">
        <f t="shared" ref="Z46:AB46" si="213">IF($Y46=Z$3,"S","")</f>
        <v>#ERROR!</v>
      </c>
      <c r="AA46" s="49" t="str">
        <f t="shared" si="213"/>
        <v>#ERROR!</v>
      </c>
      <c r="AB46" s="50" t="str">
        <f t="shared" si="213"/>
        <v>#ERROR!</v>
      </c>
      <c r="AC46" s="48" t="str">
        <f t="shared" ref="AC46:AE46" si="214">IF($Y46=AC$3,"B","")</f>
        <v>#ERROR!</v>
      </c>
      <c r="AD46" s="49" t="str">
        <f t="shared" si="214"/>
        <v>#ERROR!</v>
      </c>
      <c r="AE46" s="50" t="str">
        <f t="shared" si="214"/>
        <v>#ERROR!</v>
      </c>
      <c r="AF46" s="48" t="str">
        <f t="shared" ref="AF46:AH46" si="215">IF($Y46=AF$3,"I","")</f>
        <v>#ERROR!</v>
      </c>
      <c r="AG46" s="49" t="str">
        <f t="shared" si="215"/>
        <v>#ERROR!</v>
      </c>
      <c r="AH46" s="50" t="str">
        <f t="shared" si="215"/>
        <v>#ERROR!</v>
      </c>
      <c r="AI46" s="48" t="str">
        <f t="shared" ref="AI46:AK46" si="216">IF($Y46=AI$3,"A","")</f>
        <v>#ERROR!</v>
      </c>
      <c r="AJ46" s="49" t="str">
        <f t="shared" si="216"/>
        <v>#ERROR!</v>
      </c>
      <c r="AK46" s="50" t="str">
        <f t="shared" si="216"/>
        <v>#ERROR!</v>
      </c>
      <c r="AL46" s="48" t="str">
        <f t="shared" ref="AL46:AN46" si="217">IF($Y46=AL$3,"M","")</f>
        <v>#ERROR!</v>
      </c>
      <c r="AM46" s="49" t="str">
        <f t="shared" si="217"/>
        <v>#ERROR!</v>
      </c>
      <c r="AN46" s="50" t="str">
        <f t="shared" si="217"/>
        <v>#ERROR!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25" t="s">
        <v>26</v>
      </c>
      <c r="T47" s="26" t="s">
        <v>151</v>
      </c>
      <c r="U47" s="27" t="str">
        <f>VLOOKUP(T47,X4:Y136,2,FALSE)</f>
        <v>#ERROR!</v>
      </c>
      <c r="V47" s="13"/>
      <c r="W47" s="25" t="s">
        <v>26</v>
      </c>
      <c r="X47" s="26" t="s">
        <v>159</v>
      </c>
      <c r="Y47" s="27" t="str">
        <f>VLOOKUP(X47,[1]!Magic_Energies,2,FALSE)</f>
        <v>#ERROR!</v>
      </c>
      <c r="Z47" s="48" t="str">
        <f t="shared" ref="Z47:AB47" si="218">IF($Y47=Z$3,"S","")</f>
        <v>#ERROR!</v>
      </c>
      <c r="AA47" s="49" t="str">
        <f t="shared" si="218"/>
        <v>#ERROR!</v>
      </c>
      <c r="AB47" s="50" t="str">
        <f t="shared" si="218"/>
        <v>#ERROR!</v>
      </c>
      <c r="AC47" s="48" t="str">
        <f t="shared" ref="AC47:AE47" si="219">IF($Y47=AC$3,"B","")</f>
        <v>#ERROR!</v>
      </c>
      <c r="AD47" s="49" t="str">
        <f t="shared" si="219"/>
        <v>#ERROR!</v>
      </c>
      <c r="AE47" s="50" t="str">
        <f t="shared" si="219"/>
        <v>#ERROR!</v>
      </c>
      <c r="AF47" s="48" t="str">
        <f t="shared" ref="AF47:AH47" si="220">IF($Y47=AF$3,"I","")</f>
        <v>#ERROR!</v>
      </c>
      <c r="AG47" s="49" t="str">
        <f t="shared" si="220"/>
        <v>#ERROR!</v>
      </c>
      <c r="AH47" s="50" t="str">
        <f t="shared" si="220"/>
        <v>#ERROR!</v>
      </c>
      <c r="AI47" s="48" t="str">
        <f t="shared" ref="AI47:AK47" si="221">IF($Y47=AI$3,"A","")</f>
        <v>#ERROR!</v>
      </c>
      <c r="AJ47" s="49" t="str">
        <f t="shared" si="221"/>
        <v>#ERROR!</v>
      </c>
      <c r="AK47" s="50" t="str">
        <f t="shared" si="221"/>
        <v>#ERROR!</v>
      </c>
      <c r="AL47" s="48" t="str">
        <f t="shared" ref="AL47:AN47" si="222">IF($Y47=AL$3,"M","")</f>
        <v>#ERROR!</v>
      </c>
      <c r="AM47" s="49" t="str">
        <f t="shared" si="222"/>
        <v>#ERROR!</v>
      </c>
      <c r="AN47" s="50" t="str">
        <f t="shared" si="222"/>
        <v>#ERROR!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5" t="s">
        <v>26</v>
      </c>
      <c r="T48" s="26" t="s">
        <v>160</v>
      </c>
      <c r="U48" s="27" t="str">
        <f>VLOOKUP(T48,X4:Y136,2,FALSE)</f>
        <v>#ERROR!</v>
      </c>
      <c r="V48" s="13"/>
      <c r="W48" s="25" t="s">
        <v>26</v>
      </c>
      <c r="X48" s="26" t="s">
        <v>161</v>
      </c>
      <c r="Y48" s="27" t="str">
        <f>VLOOKUP(X48,[1]!Magic_Energies,2,FALSE)</f>
        <v>#ERROR!</v>
      </c>
      <c r="Z48" s="48" t="str">
        <f t="shared" ref="Z48:AB48" si="223">IF($Y48=Z$3,"S","")</f>
        <v>#ERROR!</v>
      </c>
      <c r="AA48" s="49" t="str">
        <f t="shared" si="223"/>
        <v>#ERROR!</v>
      </c>
      <c r="AB48" s="50" t="str">
        <f t="shared" si="223"/>
        <v>#ERROR!</v>
      </c>
      <c r="AC48" s="48" t="str">
        <f t="shared" ref="AC48:AE48" si="224">IF($Y48=AC$3,"B","")</f>
        <v>#ERROR!</v>
      </c>
      <c r="AD48" s="49" t="str">
        <f t="shared" si="224"/>
        <v>#ERROR!</v>
      </c>
      <c r="AE48" s="50" t="str">
        <f t="shared" si="224"/>
        <v>#ERROR!</v>
      </c>
      <c r="AF48" s="48" t="str">
        <f t="shared" ref="AF48:AH48" si="225">IF($Y48=AF$3,"I","")</f>
        <v>#ERROR!</v>
      </c>
      <c r="AG48" s="49" t="str">
        <f t="shared" si="225"/>
        <v>#ERROR!</v>
      </c>
      <c r="AH48" s="50" t="str">
        <f t="shared" si="225"/>
        <v>#ERROR!</v>
      </c>
      <c r="AI48" s="48" t="str">
        <f t="shared" ref="AI48:AK48" si="226">IF($Y48=AI$3,"A","")</f>
        <v>#ERROR!</v>
      </c>
      <c r="AJ48" s="49" t="str">
        <f t="shared" si="226"/>
        <v>#ERROR!</v>
      </c>
      <c r="AK48" s="50" t="str">
        <f t="shared" si="226"/>
        <v>#ERROR!</v>
      </c>
      <c r="AL48" s="48" t="str">
        <f t="shared" ref="AL48:AN48" si="227">IF($Y48=AL$3,"M","")</f>
        <v>#ERROR!</v>
      </c>
      <c r="AM48" s="49" t="str">
        <f t="shared" si="227"/>
        <v>#ERROR!</v>
      </c>
      <c r="AN48" s="50" t="str">
        <f t="shared" si="227"/>
        <v>#ERROR!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25" t="s">
        <v>26</v>
      </c>
      <c r="T49" s="26" t="s">
        <v>162</v>
      </c>
      <c r="U49" s="27" t="str">
        <f>VLOOKUP(T49,X4:Y136,2,FALSE)</f>
        <v>#ERROR!</v>
      </c>
      <c r="V49" s="13"/>
      <c r="W49" s="25" t="s">
        <v>26</v>
      </c>
      <c r="X49" s="26" t="s">
        <v>86</v>
      </c>
      <c r="Y49" s="27" t="str">
        <f>VLOOKUP(X49,[1]!Magic_Energies,2,FALSE)</f>
        <v>#ERROR!</v>
      </c>
      <c r="Z49" s="48" t="str">
        <f t="shared" ref="Z49:AB49" si="228">IF($Y49=Z$3,"S","")</f>
        <v>#ERROR!</v>
      </c>
      <c r="AA49" s="49" t="str">
        <f t="shared" si="228"/>
        <v>#ERROR!</v>
      </c>
      <c r="AB49" s="50" t="str">
        <f t="shared" si="228"/>
        <v>#ERROR!</v>
      </c>
      <c r="AC49" s="48" t="str">
        <f t="shared" ref="AC49:AE49" si="229">IF($Y49=AC$3,"B","")</f>
        <v>#ERROR!</v>
      </c>
      <c r="AD49" s="49" t="str">
        <f t="shared" si="229"/>
        <v>#ERROR!</v>
      </c>
      <c r="AE49" s="50" t="str">
        <f t="shared" si="229"/>
        <v>#ERROR!</v>
      </c>
      <c r="AF49" s="48" t="str">
        <f t="shared" ref="AF49:AH49" si="230">IF($Y49=AF$3,"I","")</f>
        <v>#ERROR!</v>
      </c>
      <c r="AG49" s="49" t="str">
        <f t="shared" si="230"/>
        <v>#ERROR!</v>
      </c>
      <c r="AH49" s="50" t="str">
        <f t="shared" si="230"/>
        <v>#ERROR!</v>
      </c>
      <c r="AI49" s="48" t="str">
        <f t="shared" ref="AI49:AK49" si="231">IF($Y49=AI$3,"A","")</f>
        <v>#ERROR!</v>
      </c>
      <c r="AJ49" s="49" t="str">
        <f t="shared" si="231"/>
        <v>#ERROR!</v>
      </c>
      <c r="AK49" s="50" t="str">
        <f t="shared" si="231"/>
        <v>#ERROR!</v>
      </c>
      <c r="AL49" s="48" t="str">
        <f t="shared" ref="AL49:AN49" si="232">IF($Y49=AL$3,"M","")</f>
        <v>#ERROR!</v>
      </c>
      <c r="AM49" s="49" t="str">
        <f t="shared" si="232"/>
        <v>#ERROR!</v>
      </c>
      <c r="AN49" s="50" t="str">
        <f t="shared" si="232"/>
        <v>#ERROR!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5" t="s">
        <v>26</v>
      </c>
      <c r="T50" s="26" t="s">
        <v>163</v>
      </c>
      <c r="U50" s="27" t="str">
        <f>VLOOKUP(T50,X4:Y136,2,FALSE)</f>
        <v>#ERROR!</v>
      </c>
      <c r="V50" s="13"/>
      <c r="W50" s="25" t="s">
        <v>26</v>
      </c>
      <c r="X50" s="26" t="s">
        <v>164</v>
      </c>
      <c r="Y50" s="27" t="str">
        <f>VLOOKUP(X50,[1]!Magic_Energies,2,FALSE)</f>
        <v>#ERROR!</v>
      </c>
      <c r="Z50" s="48" t="str">
        <f t="shared" ref="Z50:AB50" si="233">IF($Y50=Z$3,"S","")</f>
        <v>#ERROR!</v>
      </c>
      <c r="AA50" s="49" t="str">
        <f t="shared" si="233"/>
        <v>#ERROR!</v>
      </c>
      <c r="AB50" s="50" t="str">
        <f t="shared" si="233"/>
        <v>#ERROR!</v>
      </c>
      <c r="AC50" s="48" t="str">
        <f t="shared" ref="AC50:AE50" si="234">IF($Y50=AC$3,"B","")</f>
        <v>#ERROR!</v>
      </c>
      <c r="AD50" s="49" t="str">
        <f t="shared" si="234"/>
        <v>#ERROR!</v>
      </c>
      <c r="AE50" s="50" t="str">
        <f t="shared" si="234"/>
        <v>#ERROR!</v>
      </c>
      <c r="AF50" s="48" t="str">
        <f t="shared" ref="AF50:AH50" si="235">IF($Y50=AF$3,"I","")</f>
        <v>#ERROR!</v>
      </c>
      <c r="AG50" s="49" t="str">
        <f t="shared" si="235"/>
        <v>#ERROR!</v>
      </c>
      <c r="AH50" s="50" t="str">
        <f t="shared" si="235"/>
        <v>#ERROR!</v>
      </c>
      <c r="AI50" s="48" t="str">
        <f t="shared" ref="AI50:AK50" si="236">IF($Y50=AI$3,"A","")</f>
        <v>#ERROR!</v>
      </c>
      <c r="AJ50" s="49" t="str">
        <f t="shared" si="236"/>
        <v>#ERROR!</v>
      </c>
      <c r="AK50" s="50" t="str">
        <f t="shared" si="236"/>
        <v>#ERROR!</v>
      </c>
      <c r="AL50" s="48" t="str">
        <f t="shared" ref="AL50:AN50" si="237">IF($Y50=AL$3,"M","")</f>
        <v>#ERROR!</v>
      </c>
      <c r="AM50" s="49" t="str">
        <f t="shared" si="237"/>
        <v>#ERROR!</v>
      </c>
      <c r="AN50" s="50" t="str">
        <f t="shared" si="237"/>
        <v>#ERROR!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5" t="s">
        <v>26</v>
      </c>
      <c r="T51" s="26" t="s">
        <v>48</v>
      </c>
      <c r="U51" s="27" t="str">
        <f>VLOOKUP(T51,X4:Y136,2,FALSE)</f>
        <v>#ERROR!</v>
      </c>
      <c r="V51" s="13"/>
      <c r="W51" s="25" t="s">
        <v>26</v>
      </c>
      <c r="X51" s="26" t="s">
        <v>165</v>
      </c>
      <c r="Y51" s="27" t="str">
        <f>VLOOKUP(X51,[1]!Magic_Energies,2,FALSE)</f>
        <v>#ERROR!</v>
      </c>
      <c r="Z51" s="48" t="str">
        <f t="shared" ref="Z51:AB51" si="238">IF($Y51=Z$3,"S","")</f>
        <v>#ERROR!</v>
      </c>
      <c r="AA51" s="49" t="str">
        <f t="shared" si="238"/>
        <v>#ERROR!</v>
      </c>
      <c r="AB51" s="50" t="str">
        <f t="shared" si="238"/>
        <v>#ERROR!</v>
      </c>
      <c r="AC51" s="48" t="str">
        <f t="shared" ref="AC51:AE51" si="239">IF($Y51=AC$3,"B","")</f>
        <v>#ERROR!</v>
      </c>
      <c r="AD51" s="49" t="str">
        <f t="shared" si="239"/>
        <v>#ERROR!</v>
      </c>
      <c r="AE51" s="50" t="str">
        <f t="shared" si="239"/>
        <v>#ERROR!</v>
      </c>
      <c r="AF51" s="48" t="str">
        <f t="shared" ref="AF51:AH51" si="240">IF($Y51=AF$3,"I","")</f>
        <v>#ERROR!</v>
      </c>
      <c r="AG51" s="49" t="str">
        <f t="shared" si="240"/>
        <v>#ERROR!</v>
      </c>
      <c r="AH51" s="50" t="str">
        <f t="shared" si="240"/>
        <v>#ERROR!</v>
      </c>
      <c r="AI51" s="48" t="str">
        <f t="shared" ref="AI51:AK51" si="241">IF($Y51=AI$3,"A","")</f>
        <v>#ERROR!</v>
      </c>
      <c r="AJ51" s="49" t="str">
        <f t="shared" si="241"/>
        <v>#ERROR!</v>
      </c>
      <c r="AK51" s="50" t="str">
        <f t="shared" si="241"/>
        <v>#ERROR!</v>
      </c>
      <c r="AL51" s="48" t="str">
        <f t="shared" ref="AL51:AN51" si="242">IF($Y51=AL$3,"M","")</f>
        <v>#ERROR!</v>
      </c>
      <c r="AM51" s="49" t="str">
        <f t="shared" si="242"/>
        <v>#ERROR!</v>
      </c>
      <c r="AN51" s="50" t="str">
        <f t="shared" si="242"/>
        <v>#ERROR!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5" t="s">
        <v>26</v>
      </c>
      <c r="T52" s="26" t="s">
        <v>164</v>
      </c>
      <c r="U52" s="27" t="str">
        <f>VLOOKUP(T52,X4:Y136,2,FALSE)</f>
        <v>#ERROR!</v>
      </c>
      <c r="V52" s="13"/>
      <c r="W52" s="25" t="s">
        <v>26</v>
      </c>
      <c r="X52" s="26" t="s">
        <v>166</v>
      </c>
      <c r="Y52" s="27" t="str">
        <f>VLOOKUP(X52,[1]!Magic_Energies,2,FALSE)</f>
        <v>#ERROR!</v>
      </c>
      <c r="Z52" s="48" t="str">
        <f t="shared" ref="Z52:AB52" si="243">IF($Y52=Z$3,"S","")</f>
        <v>#ERROR!</v>
      </c>
      <c r="AA52" s="49" t="str">
        <f t="shared" si="243"/>
        <v>#ERROR!</v>
      </c>
      <c r="AB52" s="50" t="str">
        <f t="shared" si="243"/>
        <v>#ERROR!</v>
      </c>
      <c r="AC52" s="48" t="str">
        <f t="shared" ref="AC52:AE52" si="244">IF($Y52=AC$3,"B","")</f>
        <v>#ERROR!</v>
      </c>
      <c r="AD52" s="49" t="str">
        <f t="shared" si="244"/>
        <v>#ERROR!</v>
      </c>
      <c r="AE52" s="50" t="str">
        <f t="shared" si="244"/>
        <v>#ERROR!</v>
      </c>
      <c r="AF52" s="48" t="str">
        <f t="shared" ref="AF52:AH52" si="245">IF($Y52=AF$3,"I","")</f>
        <v>#ERROR!</v>
      </c>
      <c r="AG52" s="49" t="str">
        <f t="shared" si="245"/>
        <v>#ERROR!</v>
      </c>
      <c r="AH52" s="50" t="str">
        <f t="shared" si="245"/>
        <v>#ERROR!</v>
      </c>
      <c r="AI52" s="48" t="str">
        <f t="shared" ref="AI52:AK52" si="246">IF($Y52=AI$3,"A","")</f>
        <v>#ERROR!</v>
      </c>
      <c r="AJ52" s="49" t="str">
        <f t="shared" si="246"/>
        <v>#ERROR!</v>
      </c>
      <c r="AK52" s="50" t="str">
        <f t="shared" si="246"/>
        <v>#ERROR!</v>
      </c>
      <c r="AL52" s="48" t="str">
        <f t="shared" ref="AL52:AN52" si="247">IF($Y52=AL$3,"M","")</f>
        <v>#ERROR!</v>
      </c>
      <c r="AM52" s="49" t="str">
        <f t="shared" si="247"/>
        <v>#ERROR!</v>
      </c>
      <c r="AN52" s="50" t="str">
        <f t="shared" si="247"/>
        <v>#ERROR!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5" t="s">
        <v>26</v>
      </c>
      <c r="T53" s="26" t="s">
        <v>167</v>
      </c>
      <c r="U53" s="27" t="str">
        <f>VLOOKUP(T53,X4:Y136,2,FALSE)</f>
        <v>#ERROR!</v>
      </c>
      <c r="V53" s="13"/>
      <c r="W53" s="25" t="s">
        <v>26</v>
      </c>
      <c r="X53" s="26" t="s">
        <v>168</v>
      </c>
      <c r="Y53" s="27" t="str">
        <f>VLOOKUP(X53,[1]!Magic_Energies,2,FALSE)</f>
        <v>#ERROR!</v>
      </c>
      <c r="Z53" s="48" t="str">
        <f t="shared" ref="Z53:AB53" si="248">IF($Y53=Z$3,"S","")</f>
        <v>#ERROR!</v>
      </c>
      <c r="AA53" s="49" t="str">
        <f t="shared" si="248"/>
        <v>#ERROR!</v>
      </c>
      <c r="AB53" s="50" t="str">
        <f t="shared" si="248"/>
        <v>#ERROR!</v>
      </c>
      <c r="AC53" s="48" t="str">
        <f t="shared" ref="AC53:AE53" si="249">IF($Y53=AC$3,"B","")</f>
        <v>#ERROR!</v>
      </c>
      <c r="AD53" s="49" t="str">
        <f t="shared" si="249"/>
        <v>#ERROR!</v>
      </c>
      <c r="AE53" s="50" t="str">
        <f t="shared" si="249"/>
        <v>#ERROR!</v>
      </c>
      <c r="AF53" s="48" t="str">
        <f t="shared" ref="AF53:AH53" si="250">IF($Y53=AF$3,"I","")</f>
        <v>#ERROR!</v>
      </c>
      <c r="AG53" s="49" t="str">
        <f t="shared" si="250"/>
        <v>#ERROR!</v>
      </c>
      <c r="AH53" s="50" t="str">
        <f t="shared" si="250"/>
        <v>#ERROR!</v>
      </c>
      <c r="AI53" s="48" t="str">
        <f t="shared" ref="AI53:AK53" si="251">IF($Y53=AI$3,"A","")</f>
        <v>#ERROR!</v>
      </c>
      <c r="AJ53" s="49" t="str">
        <f t="shared" si="251"/>
        <v>#ERROR!</v>
      </c>
      <c r="AK53" s="50" t="str">
        <f t="shared" si="251"/>
        <v>#ERROR!</v>
      </c>
      <c r="AL53" s="48" t="str">
        <f t="shared" ref="AL53:AN53" si="252">IF($Y53=AL$3,"M","")</f>
        <v>#ERROR!</v>
      </c>
      <c r="AM53" s="49" t="str">
        <f t="shared" si="252"/>
        <v>#ERROR!</v>
      </c>
      <c r="AN53" s="50" t="str">
        <f t="shared" si="252"/>
        <v>#ERROR!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5" t="s">
        <v>26</v>
      </c>
      <c r="T54" s="26" t="s">
        <v>169</v>
      </c>
      <c r="U54" s="27" t="str">
        <f>VLOOKUP(T54,X4:Y136,2,FALSE)</f>
        <v>#ERROR!</v>
      </c>
      <c r="V54" s="13"/>
      <c r="W54" s="25" t="s">
        <v>26</v>
      </c>
      <c r="X54" s="26" t="s">
        <v>170</v>
      </c>
      <c r="Y54" s="27" t="str">
        <f>VLOOKUP(X54,[1]!Magic_Energies,2,FALSE)</f>
        <v>#ERROR!</v>
      </c>
      <c r="Z54" s="48" t="str">
        <f t="shared" ref="Z54:AB54" si="253">IF($Y54=Z$3,"S","")</f>
        <v>#ERROR!</v>
      </c>
      <c r="AA54" s="49" t="str">
        <f t="shared" si="253"/>
        <v>#ERROR!</v>
      </c>
      <c r="AB54" s="50" t="str">
        <f t="shared" si="253"/>
        <v>#ERROR!</v>
      </c>
      <c r="AC54" s="48" t="str">
        <f t="shared" ref="AC54:AE54" si="254">IF($Y54=AC$3,"B","")</f>
        <v>#ERROR!</v>
      </c>
      <c r="AD54" s="49" t="str">
        <f t="shared" si="254"/>
        <v>#ERROR!</v>
      </c>
      <c r="AE54" s="50" t="str">
        <f t="shared" si="254"/>
        <v>#ERROR!</v>
      </c>
      <c r="AF54" s="48" t="str">
        <f t="shared" ref="AF54:AH54" si="255">IF($Y54=AF$3,"I","")</f>
        <v>#ERROR!</v>
      </c>
      <c r="AG54" s="49" t="str">
        <f t="shared" si="255"/>
        <v>#ERROR!</v>
      </c>
      <c r="AH54" s="50" t="str">
        <f t="shared" si="255"/>
        <v>#ERROR!</v>
      </c>
      <c r="AI54" s="48" t="str">
        <f t="shared" ref="AI54:AK54" si="256">IF($Y54=AI$3,"A","")</f>
        <v>#ERROR!</v>
      </c>
      <c r="AJ54" s="49" t="str">
        <f t="shared" si="256"/>
        <v>#ERROR!</v>
      </c>
      <c r="AK54" s="50" t="str">
        <f t="shared" si="256"/>
        <v>#ERROR!</v>
      </c>
      <c r="AL54" s="48" t="str">
        <f t="shared" ref="AL54:AN54" si="257">IF($Y54=AL$3,"M","")</f>
        <v>#ERROR!</v>
      </c>
      <c r="AM54" s="49" t="str">
        <f t="shared" si="257"/>
        <v>#ERROR!</v>
      </c>
      <c r="AN54" s="50" t="str">
        <f t="shared" si="257"/>
        <v>#ERROR!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25" t="s">
        <v>18</v>
      </c>
      <c r="T55" s="26" t="s">
        <v>129</v>
      </c>
      <c r="U55" s="27" t="str">
        <f>VLOOKUP(T55,X4:Y136,2,FALSE)</f>
        <v>#ERROR!</v>
      </c>
      <c r="V55" s="13"/>
      <c r="W55" s="25" t="s">
        <v>26</v>
      </c>
      <c r="X55" s="26" t="s">
        <v>171</v>
      </c>
      <c r="Y55" s="27" t="str">
        <f>VLOOKUP(X55,[1]!Magic_Energies,2,FALSE)</f>
        <v>#ERROR!</v>
      </c>
      <c r="Z55" s="48" t="str">
        <f t="shared" ref="Z55:AB55" si="258">IF($Y55=Z$3,"S","")</f>
        <v>#ERROR!</v>
      </c>
      <c r="AA55" s="49" t="str">
        <f t="shared" si="258"/>
        <v>#ERROR!</v>
      </c>
      <c r="AB55" s="50" t="str">
        <f t="shared" si="258"/>
        <v>#ERROR!</v>
      </c>
      <c r="AC55" s="48" t="str">
        <f t="shared" ref="AC55:AE55" si="259">IF($Y55=AC$3,"B","")</f>
        <v>#ERROR!</v>
      </c>
      <c r="AD55" s="49" t="str">
        <f t="shared" si="259"/>
        <v>#ERROR!</v>
      </c>
      <c r="AE55" s="50" t="str">
        <f t="shared" si="259"/>
        <v>#ERROR!</v>
      </c>
      <c r="AF55" s="48" t="str">
        <f t="shared" ref="AF55:AH55" si="260">IF($Y55=AF$3,"I","")</f>
        <v>#ERROR!</v>
      </c>
      <c r="AG55" s="49" t="str">
        <f t="shared" si="260"/>
        <v>#ERROR!</v>
      </c>
      <c r="AH55" s="50" t="str">
        <f t="shared" si="260"/>
        <v>#ERROR!</v>
      </c>
      <c r="AI55" s="48" t="str">
        <f t="shared" ref="AI55:AK55" si="261">IF($Y55=AI$3,"A","")</f>
        <v>#ERROR!</v>
      </c>
      <c r="AJ55" s="49" t="str">
        <f t="shared" si="261"/>
        <v>#ERROR!</v>
      </c>
      <c r="AK55" s="50" t="str">
        <f t="shared" si="261"/>
        <v>#ERROR!</v>
      </c>
      <c r="AL55" s="48" t="str">
        <f t="shared" ref="AL55:AN55" si="262">IF($Y55=AL$3,"M","")</f>
        <v>#ERROR!</v>
      </c>
      <c r="AM55" s="49" t="str">
        <f t="shared" si="262"/>
        <v>#ERROR!</v>
      </c>
      <c r="AN55" s="50" t="str">
        <f t="shared" si="262"/>
        <v>#ERROR!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5" t="s">
        <v>26</v>
      </c>
      <c r="T56" s="26" t="s">
        <v>99</v>
      </c>
      <c r="U56" s="27" t="str">
        <f>VLOOKUP(T56,X4:Y136,2,FALSE)</f>
        <v>#ERROR!</v>
      </c>
      <c r="V56" s="13"/>
      <c r="W56" s="25" t="s">
        <v>52</v>
      </c>
      <c r="X56" s="26" t="s">
        <v>172</v>
      </c>
      <c r="Y56" s="27" t="str">
        <f>VLOOKUP(X56,[1]!Magic_Energies,2,FALSE)</f>
        <v>#ERROR!</v>
      </c>
      <c r="Z56" s="48" t="str">
        <f t="shared" ref="Z56:AB56" si="263">IF($Y56=Z$3,"S","")</f>
        <v>#ERROR!</v>
      </c>
      <c r="AA56" s="49" t="str">
        <f t="shared" si="263"/>
        <v>#ERROR!</v>
      </c>
      <c r="AB56" s="50" t="str">
        <f t="shared" si="263"/>
        <v>#ERROR!</v>
      </c>
      <c r="AC56" s="48" t="str">
        <f t="shared" ref="AC56:AE56" si="264">IF($Y56=AC$3,"B","")</f>
        <v>#ERROR!</v>
      </c>
      <c r="AD56" s="49" t="str">
        <f t="shared" si="264"/>
        <v>#ERROR!</v>
      </c>
      <c r="AE56" s="50" t="str">
        <f t="shared" si="264"/>
        <v>#ERROR!</v>
      </c>
      <c r="AF56" s="48" t="str">
        <f t="shared" ref="AF56:AH56" si="265">IF($Y56=AF$3,"I","")</f>
        <v>#ERROR!</v>
      </c>
      <c r="AG56" s="49" t="str">
        <f t="shared" si="265"/>
        <v>#ERROR!</v>
      </c>
      <c r="AH56" s="50" t="str">
        <f t="shared" si="265"/>
        <v>#ERROR!</v>
      </c>
      <c r="AI56" s="48" t="str">
        <f t="shared" ref="AI56:AK56" si="266">IF($Y56=AI$3,"A","")</f>
        <v>#ERROR!</v>
      </c>
      <c r="AJ56" s="49" t="str">
        <f t="shared" si="266"/>
        <v>#ERROR!</v>
      </c>
      <c r="AK56" s="50" t="str">
        <f t="shared" si="266"/>
        <v>#ERROR!</v>
      </c>
      <c r="AL56" s="48" t="str">
        <f t="shared" ref="AL56:AN56" si="267">IF($Y56=AL$3,"M","")</f>
        <v>#ERROR!</v>
      </c>
      <c r="AM56" s="49" t="str">
        <f t="shared" si="267"/>
        <v>#ERROR!</v>
      </c>
      <c r="AN56" s="50" t="str">
        <f t="shared" si="267"/>
        <v>#ERROR!</v>
      </c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5" t="s">
        <v>26</v>
      </c>
      <c r="T57" s="26" t="s">
        <v>165</v>
      </c>
      <c r="U57" s="27" t="str">
        <f>VLOOKUP(T57,X4:Y136,2,FALSE)</f>
        <v>#ERROR!</v>
      </c>
      <c r="V57" s="13"/>
      <c r="W57" s="25" t="s">
        <v>52</v>
      </c>
      <c r="X57" s="26" t="s">
        <v>173</v>
      </c>
      <c r="Y57" s="27" t="str">
        <f>VLOOKUP(X57,[1]!Magic_Energies,2,FALSE)</f>
        <v>#ERROR!</v>
      </c>
      <c r="Z57" s="48" t="str">
        <f t="shared" ref="Z57:AB57" si="268">IF($Y57=Z$3,"S","")</f>
        <v>#ERROR!</v>
      </c>
      <c r="AA57" s="49" t="str">
        <f t="shared" si="268"/>
        <v>#ERROR!</v>
      </c>
      <c r="AB57" s="50" t="str">
        <f t="shared" si="268"/>
        <v>#ERROR!</v>
      </c>
      <c r="AC57" s="48" t="str">
        <f t="shared" ref="AC57:AE57" si="269">IF($Y57=AC$3,"B","")</f>
        <v>#ERROR!</v>
      </c>
      <c r="AD57" s="49" t="str">
        <f t="shared" si="269"/>
        <v>#ERROR!</v>
      </c>
      <c r="AE57" s="50" t="str">
        <f t="shared" si="269"/>
        <v>#ERROR!</v>
      </c>
      <c r="AF57" s="48" t="str">
        <f t="shared" ref="AF57:AH57" si="270">IF($Y57=AF$3,"I","")</f>
        <v>#ERROR!</v>
      </c>
      <c r="AG57" s="49" t="str">
        <f t="shared" si="270"/>
        <v>#ERROR!</v>
      </c>
      <c r="AH57" s="50" t="str">
        <f t="shared" si="270"/>
        <v>#ERROR!</v>
      </c>
      <c r="AI57" s="48" t="str">
        <f t="shared" ref="AI57:AK57" si="271">IF($Y57=AI$3,"A","")</f>
        <v>#ERROR!</v>
      </c>
      <c r="AJ57" s="49" t="str">
        <f t="shared" si="271"/>
        <v>#ERROR!</v>
      </c>
      <c r="AK57" s="50" t="str">
        <f t="shared" si="271"/>
        <v>#ERROR!</v>
      </c>
      <c r="AL57" s="48" t="str">
        <f t="shared" ref="AL57:AN57" si="272">IF($Y57=AL$3,"M","")</f>
        <v>#ERROR!</v>
      </c>
      <c r="AM57" s="49" t="str">
        <f t="shared" si="272"/>
        <v>#ERROR!</v>
      </c>
      <c r="AN57" s="50" t="str">
        <f t="shared" si="272"/>
        <v>#ERROR!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5" t="s">
        <v>26</v>
      </c>
      <c r="T58" s="26" t="s">
        <v>174</v>
      </c>
      <c r="U58" s="27" t="str">
        <f>VLOOKUP(T58,X4:Y136,2,FALSE)</f>
        <v>#ERROR!</v>
      </c>
      <c r="V58" s="13"/>
      <c r="W58" s="25" t="s">
        <v>26</v>
      </c>
      <c r="X58" s="26" t="s">
        <v>36</v>
      </c>
      <c r="Y58" s="27" t="str">
        <f>VLOOKUP(X58,[1]!Magic_Energies,2,FALSE)</f>
        <v>#ERROR!</v>
      </c>
      <c r="Z58" s="48" t="str">
        <f t="shared" ref="Z58:AB58" si="273">IF($Y58=Z$3,"S","")</f>
        <v>#ERROR!</v>
      </c>
      <c r="AA58" s="49" t="str">
        <f t="shared" si="273"/>
        <v>#ERROR!</v>
      </c>
      <c r="AB58" s="50" t="str">
        <f t="shared" si="273"/>
        <v>#ERROR!</v>
      </c>
      <c r="AC58" s="48" t="str">
        <f t="shared" ref="AC58:AE58" si="274">IF($Y58=AC$3,"B","")</f>
        <v>#ERROR!</v>
      </c>
      <c r="AD58" s="49" t="str">
        <f t="shared" si="274"/>
        <v>#ERROR!</v>
      </c>
      <c r="AE58" s="50" t="str">
        <f t="shared" si="274"/>
        <v>#ERROR!</v>
      </c>
      <c r="AF58" s="48" t="str">
        <f t="shared" ref="AF58:AH58" si="275">IF($Y58=AF$3,"I","")</f>
        <v>#ERROR!</v>
      </c>
      <c r="AG58" s="49" t="str">
        <f t="shared" si="275"/>
        <v>#ERROR!</v>
      </c>
      <c r="AH58" s="50" t="str">
        <f t="shared" si="275"/>
        <v>#ERROR!</v>
      </c>
      <c r="AI58" s="48" t="str">
        <f t="shared" ref="AI58:AK58" si="276">IF($Y58=AI$3,"A","")</f>
        <v>#ERROR!</v>
      </c>
      <c r="AJ58" s="49" t="str">
        <f t="shared" si="276"/>
        <v>#ERROR!</v>
      </c>
      <c r="AK58" s="50" t="str">
        <f t="shared" si="276"/>
        <v>#ERROR!</v>
      </c>
      <c r="AL58" s="48" t="str">
        <f t="shared" ref="AL58:AN58" si="277">IF($Y58=AL$3,"M","")</f>
        <v>#ERROR!</v>
      </c>
      <c r="AM58" s="49" t="str">
        <f t="shared" si="277"/>
        <v>#ERROR!</v>
      </c>
      <c r="AN58" s="50" t="str">
        <f t="shared" si="277"/>
        <v>#ERROR!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5" t="s">
        <v>26</v>
      </c>
      <c r="T59" s="26" t="s">
        <v>175</v>
      </c>
      <c r="U59" s="27" t="str">
        <f>VLOOKUP(T59,X4:Y136,2,FALSE)</f>
        <v>#ERROR!</v>
      </c>
      <c r="V59" s="13"/>
      <c r="W59" s="25" t="s">
        <v>26</v>
      </c>
      <c r="X59" s="26" t="s">
        <v>111</v>
      </c>
      <c r="Y59" s="27" t="str">
        <f>VLOOKUP(X59,[1]!Magic_Energies,2,FALSE)</f>
        <v>#ERROR!</v>
      </c>
      <c r="Z59" s="48" t="str">
        <f t="shared" ref="Z59:AB59" si="278">IF($Y59=Z$3,"S","")</f>
        <v>#ERROR!</v>
      </c>
      <c r="AA59" s="49" t="str">
        <f t="shared" si="278"/>
        <v>#ERROR!</v>
      </c>
      <c r="AB59" s="50" t="str">
        <f t="shared" si="278"/>
        <v>#ERROR!</v>
      </c>
      <c r="AC59" s="48" t="str">
        <f t="shared" ref="AC59:AE59" si="279">IF($Y59=AC$3,"B","")</f>
        <v>#ERROR!</v>
      </c>
      <c r="AD59" s="49" t="str">
        <f t="shared" si="279"/>
        <v>#ERROR!</v>
      </c>
      <c r="AE59" s="50" t="str">
        <f t="shared" si="279"/>
        <v>#ERROR!</v>
      </c>
      <c r="AF59" s="48" t="str">
        <f t="shared" ref="AF59:AH59" si="280">IF($Y59=AF$3,"I","")</f>
        <v>#ERROR!</v>
      </c>
      <c r="AG59" s="49" t="str">
        <f t="shared" si="280"/>
        <v>#ERROR!</v>
      </c>
      <c r="AH59" s="50" t="str">
        <f t="shared" si="280"/>
        <v>#ERROR!</v>
      </c>
      <c r="AI59" s="48" t="str">
        <f t="shared" ref="AI59:AK59" si="281">IF($Y59=AI$3,"A","")</f>
        <v>#ERROR!</v>
      </c>
      <c r="AJ59" s="49" t="str">
        <f t="shared" si="281"/>
        <v>#ERROR!</v>
      </c>
      <c r="AK59" s="50" t="str">
        <f t="shared" si="281"/>
        <v>#ERROR!</v>
      </c>
      <c r="AL59" s="48" t="str">
        <f t="shared" ref="AL59:AN59" si="282">IF($Y59=AL$3,"M","")</f>
        <v>#ERROR!</v>
      </c>
      <c r="AM59" s="49" t="str">
        <f t="shared" si="282"/>
        <v>#ERROR!</v>
      </c>
      <c r="AN59" s="50" t="str">
        <f t="shared" si="282"/>
        <v>#ERROR!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5" t="s">
        <v>26</v>
      </c>
      <c r="T60" s="26" t="s">
        <v>68</v>
      </c>
      <c r="U60" s="27" t="str">
        <f>VLOOKUP(T60,X4:Y136,2,FALSE)</f>
        <v>#ERROR!</v>
      </c>
      <c r="V60" s="13"/>
      <c r="W60" s="25" t="s">
        <v>26</v>
      </c>
      <c r="X60" s="26" t="s">
        <v>131</v>
      </c>
      <c r="Y60" s="27" t="str">
        <f>VLOOKUP(X60,[1]!Magic_Energies,2,FALSE)</f>
        <v>#ERROR!</v>
      </c>
      <c r="Z60" s="48" t="str">
        <f t="shared" ref="Z60:AB60" si="283">IF($Y60=Z$3,"S","")</f>
        <v>#ERROR!</v>
      </c>
      <c r="AA60" s="49" t="str">
        <f t="shared" si="283"/>
        <v>#ERROR!</v>
      </c>
      <c r="AB60" s="50" t="str">
        <f t="shared" si="283"/>
        <v>#ERROR!</v>
      </c>
      <c r="AC60" s="48" t="str">
        <f t="shared" ref="AC60:AE60" si="284">IF($Y60=AC$3,"B","")</f>
        <v>#ERROR!</v>
      </c>
      <c r="AD60" s="49" t="str">
        <f t="shared" si="284"/>
        <v>#ERROR!</v>
      </c>
      <c r="AE60" s="50" t="str">
        <f t="shared" si="284"/>
        <v>#ERROR!</v>
      </c>
      <c r="AF60" s="48" t="str">
        <f t="shared" ref="AF60:AH60" si="285">IF($Y60=AF$3,"I","")</f>
        <v>#ERROR!</v>
      </c>
      <c r="AG60" s="49" t="str">
        <f t="shared" si="285"/>
        <v>#ERROR!</v>
      </c>
      <c r="AH60" s="50" t="str">
        <f t="shared" si="285"/>
        <v>#ERROR!</v>
      </c>
      <c r="AI60" s="48" t="str">
        <f t="shared" ref="AI60:AK60" si="286">IF($Y60=AI$3,"A","")</f>
        <v>#ERROR!</v>
      </c>
      <c r="AJ60" s="49" t="str">
        <f t="shared" si="286"/>
        <v>#ERROR!</v>
      </c>
      <c r="AK60" s="50" t="str">
        <f t="shared" si="286"/>
        <v>#ERROR!</v>
      </c>
      <c r="AL60" s="48" t="str">
        <f t="shared" ref="AL60:AN60" si="287">IF($Y60=AL$3,"M","")</f>
        <v>#ERROR!</v>
      </c>
      <c r="AM60" s="49" t="str">
        <f t="shared" si="287"/>
        <v>#ERROR!</v>
      </c>
      <c r="AN60" s="50" t="str">
        <f t="shared" si="287"/>
        <v>#ERROR!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5" t="s">
        <v>26</v>
      </c>
      <c r="T61" s="26" t="s">
        <v>153</v>
      </c>
      <c r="U61" s="27" t="str">
        <f>VLOOKUP(T61,X4:Y136,2,FALSE)</f>
        <v>#ERROR!</v>
      </c>
      <c r="V61" s="13"/>
      <c r="W61" s="25" t="s">
        <v>52</v>
      </c>
      <c r="X61" s="26" t="s">
        <v>148</v>
      </c>
      <c r="Y61" s="27" t="str">
        <f>VLOOKUP(X61,[1]!Magic_Energies,2,FALSE)</f>
        <v>#ERROR!</v>
      </c>
      <c r="Z61" s="48" t="str">
        <f t="shared" ref="Z61:AB61" si="288">IF($Y61=Z$3,"S","")</f>
        <v>#ERROR!</v>
      </c>
      <c r="AA61" s="49" t="str">
        <f t="shared" si="288"/>
        <v>#ERROR!</v>
      </c>
      <c r="AB61" s="50" t="str">
        <f t="shared" si="288"/>
        <v>#ERROR!</v>
      </c>
      <c r="AC61" s="48" t="str">
        <f t="shared" ref="AC61:AE61" si="289">IF($Y61=AC$3,"B","")</f>
        <v>#ERROR!</v>
      </c>
      <c r="AD61" s="49" t="str">
        <f t="shared" si="289"/>
        <v>#ERROR!</v>
      </c>
      <c r="AE61" s="50" t="str">
        <f t="shared" si="289"/>
        <v>#ERROR!</v>
      </c>
      <c r="AF61" s="48" t="str">
        <f t="shared" ref="AF61:AH61" si="290">IF($Y61=AF$3,"I","")</f>
        <v>#ERROR!</v>
      </c>
      <c r="AG61" s="49" t="str">
        <f t="shared" si="290"/>
        <v>#ERROR!</v>
      </c>
      <c r="AH61" s="50" t="str">
        <f t="shared" si="290"/>
        <v>#ERROR!</v>
      </c>
      <c r="AI61" s="48" t="str">
        <f t="shared" ref="AI61:AK61" si="291">IF($Y61=AI$3,"A","")</f>
        <v>#ERROR!</v>
      </c>
      <c r="AJ61" s="49" t="str">
        <f t="shared" si="291"/>
        <v>#ERROR!</v>
      </c>
      <c r="AK61" s="50" t="str">
        <f t="shared" si="291"/>
        <v>#ERROR!</v>
      </c>
      <c r="AL61" s="48" t="str">
        <f t="shared" ref="AL61:AN61" si="292">IF($Y61=AL$3,"M","")</f>
        <v>#ERROR!</v>
      </c>
      <c r="AM61" s="49" t="str">
        <f t="shared" si="292"/>
        <v>#ERROR!</v>
      </c>
      <c r="AN61" s="50" t="str">
        <f t="shared" si="292"/>
        <v>#ERROR!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5" t="s">
        <v>26</v>
      </c>
      <c r="T62" s="26" t="s">
        <v>176</v>
      </c>
      <c r="U62" s="27" t="str">
        <f>VLOOKUP(T62,X4:Y136,2,FALSE)</f>
        <v>#ERROR!</v>
      </c>
      <c r="V62" s="13"/>
      <c r="W62" s="25" t="s">
        <v>52</v>
      </c>
      <c r="X62" s="26" t="s">
        <v>177</v>
      </c>
      <c r="Y62" s="27" t="str">
        <f>VLOOKUP(X62,[1]!Magic_Energies,2,FALSE)</f>
        <v>#ERROR!</v>
      </c>
      <c r="Z62" s="48" t="str">
        <f t="shared" ref="Z62:AB62" si="293">IF($Y62=Z$3,"S","")</f>
        <v>#ERROR!</v>
      </c>
      <c r="AA62" s="49" t="str">
        <f t="shared" si="293"/>
        <v>#ERROR!</v>
      </c>
      <c r="AB62" s="50" t="str">
        <f t="shared" si="293"/>
        <v>#ERROR!</v>
      </c>
      <c r="AC62" s="48" t="str">
        <f t="shared" ref="AC62:AE62" si="294">IF($Y62=AC$3,"B","")</f>
        <v>#ERROR!</v>
      </c>
      <c r="AD62" s="49" t="str">
        <f t="shared" si="294"/>
        <v>#ERROR!</v>
      </c>
      <c r="AE62" s="50" t="str">
        <f t="shared" si="294"/>
        <v>#ERROR!</v>
      </c>
      <c r="AF62" s="48" t="str">
        <f t="shared" ref="AF62:AH62" si="295">IF($Y62=AF$3,"I","")</f>
        <v>#ERROR!</v>
      </c>
      <c r="AG62" s="49" t="str">
        <f t="shared" si="295"/>
        <v>#ERROR!</v>
      </c>
      <c r="AH62" s="50" t="str">
        <f t="shared" si="295"/>
        <v>#ERROR!</v>
      </c>
      <c r="AI62" s="48" t="str">
        <f t="shared" ref="AI62:AK62" si="296">IF($Y62=AI$3,"A","")</f>
        <v>#ERROR!</v>
      </c>
      <c r="AJ62" s="49" t="str">
        <f t="shared" si="296"/>
        <v>#ERROR!</v>
      </c>
      <c r="AK62" s="50" t="str">
        <f t="shared" si="296"/>
        <v>#ERROR!</v>
      </c>
      <c r="AL62" s="48" t="str">
        <f t="shared" ref="AL62:AN62" si="297">IF($Y62=AL$3,"M","")</f>
        <v>#ERROR!</v>
      </c>
      <c r="AM62" s="49" t="str">
        <f t="shared" si="297"/>
        <v>#ERROR!</v>
      </c>
      <c r="AN62" s="50" t="str">
        <f t="shared" si="297"/>
        <v>#ERROR!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5" t="s">
        <v>26</v>
      </c>
      <c r="T63" s="26" t="s">
        <v>178</v>
      </c>
      <c r="U63" s="27" t="str">
        <f>VLOOKUP(T63,X4:Y136,2,FALSE)</f>
        <v>#ERROR!</v>
      </c>
      <c r="V63" s="13"/>
      <c r="W63" s="25" t="s">
        <v>26</v>
      </c>
      <c r="X63" s="26" t="s">
        <v>179</v>
      </c>
      <c r="Y63" s="27" t="str">
        <f>VLOOKUP(X63,[1]!Magic_Energies,2,FALSE)</f>
        <v>#ERROR!</v>
      </c>
      <c r="Z63" s="48" t="str">
        <f t="shared" ref="Z63:AB63" si="298">IF($Y63=Z$3,"S","")</f>
        <v>#ERROR!</v>
      </c>
      <c r="AA63" s="49" t="str">
        <f t="shared" si="298"/>
        <v>#ERROR!</v>
      </c>
      <c r="AB63" s="50" t="str">
        <f t="shared" si="298"/>
        <v>#ERROR!</v>
      </c>
      <c r="AC63" s="48" t="str">
        <f t="shared" ref="AC63:AE63" si="299">IF($Y63=AC$3,"B","")</f>
        <v>#ERROR!</v>
      </c>
      <c r="AD63" s="49" t="str">
        <f t="shared" si="299"/>
        <v>#ERROR!</v>
      </c>
      <c r="AE63" s="50" t="str">
        <f t="shared" si="299"/>
        <v>#ERROR!</v>
      </c>
      <c r="AF63" s="48" t="str">
        <f t="shared" ref="AF63:AH63" si="300">IF($Y63=AF$3,"I","")</f>
        <v>#ERROR!</v>
      </c>
      <c r="AG63" s="49" t="str">
        <f t="shared" si="300"/>
        <v>#ERROR!</v>
      </c>
      <c r="AH63" s="50" t="str">
        <f t="shared" si="300"/>
        <v>#ERROR!</v>
      </c>
      <c r="AI63" s="48" t="str">
        <f t="shared" ref="AI63:AK63" si="301">IF($Y63=AI$3,"A","")</f>
        <v>#ERROR!</v>
      </c>
      <c r="AJ63" s="49" t="str">
        <f t="shared" si="301"/>
        <v>#ERROR!</v>
      </c>
      <c r="AK63" s="50" t="str">
        <f t="shared" si="301"/>
        <v>#ERROR!</v>
      </c>
      <c r="AL63" s="48" t="str">
        <f t="shared" ref="AL63:AN63" si="302">IF($Y63=AL$3,"M","")</f>
        <v>#ERROR!</v>
      </c>
      <c r="AM63" s="49" t="str">
        <f t="shared" si="302"/>
        <v>#ERROR!</v>
      </c>
      <c r="AN63" s="50" t="str">
        <f t="shared" si="302"/>
        <v>#ERROR!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5" t="s">
        <v>26</v>
      </c>
      <c r="T64" s="26" t="s">
        <v>180</v>
      </c>
      <c r="U64" s="27" t="str">
        <f>VLOOKUP(T64,X4:Y136,2,FALSE)</f>
        <v>#ERROR!</v>
      </c>
      <c r="V64" s="13"/>
      <c r="W64" s="25" t="s">
        <v>26</v>
      </c>
      <c r="X64" s="26" t="s">
        <v>181</v>
      </c>
      <c r="Y64" s="27" t="str">
        <f>VLOOKUP(X64,[1]!Magic_Energies,2,FALSE)</f>
        <v>#ERROR!</v>
      </c>
      <c r="Z64" s="48" t="str">
        <f t="shared" ref="Z64:AB64" si="303">IF($Y64=Z$3,"S","")</f>
        <v>#ERROR!</v>
      </c>
      <c r="AA64" s="49" t="str">
        <f t="shared" si="303"/>
        <v>#ERROR!</v>
      </c>
      <c r="AB64" s="50" t="str">
        <f t="shared" si="303"/>
        <v>#ERROR!</v>
      </c>
      <c r="AC64" s="48" t="str">
        <f t="shared" ref="AC64:AE64" si="304">IF($Y64=AC$3,"B","")</f>
        <v>#ERROR!</v>
      </c>
      <c r="AD64" s="49" t="str">
        <f t="shared" si="304"/>
        <v>#ERROR!</v>
      </c>
      <c r="AE64" s="50" t="str">
        <f t="shared" si="304"/>
        <v>#ERROR!</v>
      </c>
      <c r="AF64" s="48" t="str">
        <f t="shared" ref="AF64:AH64" si="305">IF($Y64=AF$3,"I","")</f>
        <v>#ERROR!</v>
      </c>
      <c r="AG64" s="49" t="str">
        <f t="shared" si="305"/>
        <v>#ERROR!</v>
      </c>
      <c r="AH64" s="50" t="str">
        <f t="shared" si="305"/>
        <v>#ERROR!</v>
      </c>
      <c r="AI64" s="48" t="str">
        <f t="shared" ref="AI64:AK64" si="306">IF($Y64=AI$3,"A","")</f>
        <v>#ERROR!</v>
      </c>
      <c r="AJ64" s="49" t="str">
        <f t="shared" si="306"/>
        <v>#ERROR!</v>
      </c>
      <c r="AK64" s="50" t="str">
        <f t="shared" si="306"/>
        <v>#ERROR!</v>
      </c>
      <c r="AL64" s="48" t="str">
        <f t="shared" ref="AL64:AN64" si="307">IF($Y64=AL$3,"M","")</f>
        <v>#ERROR!</v>
      </c>
      <c r="AM64" s="49" t="str">
        <f t="shared" si="307"/>
        <v>#ERROR!</v>
      </c>
      <c r="AN64" s="50" t="str">
        <f t="shared" si="307"/>
        <v>#ERROR!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5" t="s">
        <v>52</v>
      </c>
      <c r="T65" s="26" t="s">
        <v>182</v>
      </c>
      <c r="U65" s="27" t="str">
        <f>VLOOKUP(T65,X4:Y136,2,FALSE)</f>
        <v>#ERROR!</v>
      </c>
      <c r="V65" s="13"/>
      <c r="W65" s="25" t="s">
        <v>26</v>
      </c>
      <c r="X65" s="26" t="s">
        <v>183</v>
      </c>
      <c r="Y65" s="27" t="str">
        <f>VLOOKUP(X65,[1]!Magic_Energies,2,FALSE)</f>
        <v>#ERROR!</v>
      </c>
      <c r="Z65" s="48" t="str">
        <f t="shared" ref="Z65:AB65" si="308">IF($Y65=Z$3,"S","")</f>
        <v>#ERROR!</v>
      </c>
      <c r="AA65" s="49" t="str">
        <f t="shared" si="308"/>
        <v>#ERROR!</v>
      </c>
      <c r="AB65" s="50" t="str">
        <f t="shared" si="308"/>
        <v>#ERROR!</v>
      </c>
      <c r="AC65" s="48" t="str">
        <f t="shared" ref="AC65:AE65" si="309">IF($Y65=AC$3,"B","")</f>
        <v>#ERROR!</v>
      </c>
      <c r="AD65" s="49" t="str">
        <f t="shared" si="309"/>
        <v>#ERROR!</v>
      </c>
      <c r="AE65" s="50" t="str">
        <f t="shared" si="309"/>
        <v>#ERROR!</v>
      </c>
      <c r="AF65" s="48" t="str">
        <f t="shared" ref="AF65:AH65" si="310">IF($Y65=AF$3,"I","")</f>
        <v>#ERROR!</v>
      </c>
      <c r="AG65" s="49" t="str">
        <f t="shared" si="310"/>
        <v>#ERROR!</v>
      </c>
      <c r="AH65" s="50" t="str">
        <f t="shared" si="310"/>
        <v>#ERROR!</v>
      </c>
      <c r="AI65" s="48" t="str">
        <f t="shared" ref="AI65:AK65" si="311">IF($Y65=AI$3,"A","")</f>
        <v>#ERROR!</v>
      </c>
      <c r="AJ65" s="49" t="str">
        <f t="shared" si="311"/>
        <v>#ERROR!</v>
      </c>
      <c r="AK65" s="50" t="str">
        <f t="shared" si="311"/>
        <v>#ERROR!</v>
      </c>
      <c r="AL65" s="48" t="str">
        <f t="shared" ref="AL65:AN65" si="312">IF($Y65=AL$3,"M","")</f>
        <v>#ERROR!</v>
      </c>
      <c r="AM65" s="49" t="str">
        <f t="shared" si="312"/>
        <v>#ERROR!</v>
      </c>
      <c r="AN65" s="50" t="str">
        <f t="shared" si="312"/>
        <v>#ERROR!</v>
      </c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5" t="s">
        <v>26</v>
      </c>
      <c r="T66" s="26" t="s">
        <v>132</v>
      </c>
      <c r="U66" s="27" t="str">
        <f>VLOOKUP(T66,X4:Y136,2,FALSE)</f>
        <v>#ERROR!</v>
      </c>
      <c r="V66" s="13"/>
      <c r="W66" s="25" t="s">
        <v>26</v>
      </c>
      <c r="X66" s="26" t="s">
        <v>89</v>
      </c>
      <c r="Y66" s="27" t="str">
        <f>VLOOKUP(X66,[1]!Magic_Energies,2,FALSE)</f>
        <v>#ERROR!</v>
      </c>
      <c r="Z66" s="48" t="str">
        <f t="shared" ref="Z66:AB66" si="313">IF($Y66=Z$3,"S","")</f>
        <v>#ERROR!</v>
      </c>
      <c r="AA66" s="49" t="str">
        <f t="shared" si="313"/>
        <v>#ERROR!</v>
      </c>
      <c r="AB66" s="50" t="str">
        <f t="shared" si="313"/>
        <v>#ERROR!</v>
      </c>
      <c r="AC66" s="48" t="str">
        <f t="shared" ref="AC66:AE66" si="314">IF($Y66=AC$3,"B","")</f>
        <v>#ERROR!</v>
      </c>
      <c r="AD66" s="49" t="str">
        <f t="shared" si="314"/>
        <v>#ERROR!</v>
      </c>
      <c r="AE66" s="50" t="str">
        <f t="shared" si="314"/>
        <v>#ERROR!</v>
      </c>
      <c r="AF66" s="48" t="str">
        <f t="shared" ref="AF66:AH66" si="315">IF($Y66=AF$3,"I","")</f>
        <v>#ERROR!</v>
      </c>
      <c r="AG66" s="49" t="str">
        <f t="shared" si="315"/>
        <v>#ERROR!</v>
      </c>
      <c r="AH66" s="50" t="str">
        <f t="shared" si="315"/>
        <v>#ERROR!</v>
      </c>
      <c r="AI66" s="48" t="str">
        <f t="shared" ref="AI66:AK66" si="316">IF($Y66=AI$3,"A","")</f>
        <v>#ERROR!</v>
      </c>
      <c r="AJ66" s="49" t="str">
        <f t="shared" si="316"/>
        <v>#ERROR!</v>
      </c>
      <c r="AK66" s="50" t="str">
        <f t="shared" si="316"/>
        <v>#ERROR!</v>
      </c>
      <c r="AL66" s="48" t="str">
        <f t="shared" ref="AL66:AN66" si="317">IF($Y66=AL$3,"M","")</f>
        <v>#ERROR!</v>
      </c>
      <c r="AM66" s="49" t="str">
        <f t="shared" si="317"/>
        <v>#ERROR!</v>
      </c>
      <c r="AN66" s="50" t="str">
        <f t="shared" si="317"/>
        <v>#ERROR!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5" t="s">
        <v>26</v>
      </c>
      <c r="T67" s="26" t="s">
        <v>184</v>
      </c>
      <c r="U67" s="27" t="str">
        <f>VLOOKUP(T67,X4:Y136,2,FALSE)</f>
        <v>#ERROR!</v>
      </c>
      <c r="V67" s="13"/>
      <c r="W67" s="25" t="s">
        <v>26</v>
      </c>
      <c r="X67" s="26" t="s">
        <v>160</v>
      </c>
      <c r="Y67" s="27" t="str">
        <f>VLOOKUP(X67,[1]!Magic_Energies,2,FALSE)</f>
        <v>#ERROR!</v>
      </c>
      <c r="Z67" s="48" t="str">
        <f t="shared" ref="Z67:AB67" si="318">IF($Y67=Z$3,"S","")</f>
        <v>#ERROR!</v>
      </c>
      <c r="AA67" s="49" t="str">
        <f t="shared" si="318"/>
        <v>#ERROR!</v>
      </c>
      <c r="AB67" s="50" t="str">
        <f t="shared" si="318"/>
        <v>#ERROR!</v>
      </c>
      <c r="AC67" s="48" t="str">
        <f t="shared" ref="AC67:AE67" si="319">IF($Y67=AC$3,"B","")</f>
        <v>#ERROR!</v>
      </c>
      <c r="AD67" s="49" t="str">
        <f t="shared" si="319"/>
        <v>#ERROR!</v>
      </c>
      <c r="AE67" s="50" t="str">
        <f t="shared" si="319"/>
        <v>#ERROR!</v>
      </c>
      <c r="AF67" s="48" t="str">
        <f t="shared" ref="AF67:AH67" si="320">IF($Y67=AF$3,"I","")</f>
        <v>#ERROR!</v>
      </c>
      <c r="AG67" s="49" t="str">
        <f t="shared" si="320"/>
        <v>#ERROR!</v>
      </c>
      <c r="AH67" s="50" t="str">
        <f t="shared" si="320"/>
        <v>#ERROR!</v>
      </c>
      <c r="AI67" s="48" t="str">
        <f t="shared" ref="AI67:AK67" si="321">IF($Y67=AI$3,"A","")</f>
        <v>#ERROR!</v>
      </c>
      <c r="AJ67" s="49" t="str">
        <f t="shared" si="321"/>
        <v>#ERROR!</v>
      </c>
      <c r="AK67" s="50" t="str">
        <f t="shared" si="321"/>
        <v>#ERROR!</v>
      </c>
      <c r="AL67" s="48" t="str">
        <f t="shared" ref="AL67:AN67" si="322">IF($Y67=AL$3,"M","")</f>
        <v>#ERROR!</v>
      </c>
      <c r="AM67" s="49" t="str">
        <f t="shared" si="322"/>
        <v>#ERROR!</v>
      </c>
      <c r="AN67" s="50" t="str">
        <f t="shared" si="322"/>
        <v>#ERROR!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5" t="s">
        <v>26</v>
      </c>
      <c r="T68" s="26" t="s">
        <v>54</v>
      </c>
      <c r="U68" s="27" t="str">
        <f>VLOOKUP(T68,X4:Y136,2,FALSE)</f>
        <v>#ERROR!</v>
      </c>
      <c r="V68" s="13"/>
      <c r="W68" s="25" t="s">
        <v>26</v>
      </c>
      <c r="X68" s="26" t="s">
        <v>176</v>
      </c>
      <c r="Y68" s="27" t="str">
        <f>VLOOKUP(X68,[1]!Magic_Energies,2,FALSE)</f>
        <v>#ERROR!</v>
      </c>
      <c r="Z68" s="48" t="str">
        <f t="shared" ref="Z68:AB68" si="323">IF($Y68=Z$3,"S","")</f>
        <v>#ERROR!</v>
      </c>
      <c r="AA68" s="49" t="str">
        <f t="shared" si="323"/>
        <v>#ERROR!</v>
      </c>
      <c r="AB68" s="50" t="str">
        <f t="shared" si="323"/>
        <v>#ERROR!</v>
      </c>
      <c r="AC68" s="48" t="str">
        <f t="shared" ref="AC68:AE68" si="324">IF($Y68=AC$3,"B","")</f>
        <v>#ERROR!</v>
      </c>
      <c r="AD68" s="49" t="str">
        <f t="shared" si="324"/>
        <v>#ERROR!</v>
      </c>
      <c r="AE68" s="50" t="str">
        <f t="shared" si="324"/>
        <v>#ERROR!</v>
      </c>
      <c r="AF68" s="48" t="str">
        <f t="shared" ref="AF68:AH68" si="325">IF($Y68=AF$3,"I","")</f>
        <v>#ERROR!</v>
      </c>
      <c r="AG68" s="49" t="str">
        <f t="shared" si="325"/>
        <v>#ERROR!</v>
      </c>
      <c r="AH68" s="50" t="str">
        <f t="shared" si="325"/>
        <v>#ERROR!</v>
      </c>
      <c r="AI68" s="48" t="str">
        <f t="shared" ref="AI68:AK68" si="326">IF($Y68=AI$3,"A","")</f>
        <v>#ERROR!</v>
      </c>
      <c r="AJ68" s="49" t="str">
        <f t="shared" si="326"/>
        <v>#ERROR!</v>
      </c>
      <c r="AK68" s="50" t="str">
        <f t="shared" si="326"/>
        <v>#ERROR!</v>
      </c>
      <c r="AL68" s="48" t="str">
        <f t="shared" ref="AL68:AN68" si="327">IF($Y68=AL$3,"M","")</f>
        <v>#ERROR!</v>
      </c>
      <c r="AM68" s="49" t="str">
        <f t="shared" si="327"/>
        <v>#ERROR!</v>
      </c>
      <c r="AN68" s="50" t="str">
        <f t="shared" si="327"/>
        <v>#ERROR!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5" t="s">
        <v>26</v>
      </c>
      <c r="T69" s="26" t="s">
        <v>166</v>
      </c>
      <c r="U69" s="27" t="str">
        <f>VLOOKUP(T69,X4:Y136,2,FALSE)</f>
        <v>#ERROR!</v>
      </c>
      <c r="V69" s="13"/>
      <c r="W69" s="25" t="s">
        <v>26</v>
      </c>
      <c r="X69" s="26" t="s">
        <v>185</v>
      </c>
      <c r="Y69" s="27" t="str">
        <f>VLOOKUP(X69,[1]!Magic_Energies,2,FALSE)</f>
        <v>#ERROR!</v>
      </c>
      <c r="Z69" s="48" t="str">
        <f t="shared" ref="Z69:AB69" si="328">IF($Y69=Z$3,"S","")</f>
        <v>#ERROR!</v>
      </c>
      <c r="AA69" s="49" t="str">
        <f t="shared" si="328"/>
        <v>#ERROR!</v>
      </c>
      <c r="AB69" s="50" t="str">
        <f t="shared" si="328"/>
        <v>#ERROR!</v>
      </c>
      <c r="AC69" s="48" t="str">
        <f t="shared" ref="AC69:AE69" si="329">IF($Y69=AC$3,"B","")</f>
        <v>#ERROR!</v>
      </c>
      <c r="AD69" s="49" t="str">
        <f t="shared" si="329"/>
        <v>#ERROR!</v>
      </c>
      <c r="AE69" s="50" t="str">
        <f t="shared" si="329"/>
        <v>#ERROR!</v>
      </c>
      <c r="AF69" s="48" t="str">
        <f t="shared" ref="AF69:AH69" si="330">IF($Y69=AF$3,"I","")</f>
        <v>#ERROR!</v>
      </c>
      <c r="AG69" s="49" t="str">
        <f t="shared" si="330"/>
        <v>#ERROR!</v>
      </c>
      <c r="AH69" s="50" t="str">
        <f t="shared" si="330"/>
        <v>#ERROR!</v>
      </c>
      <c r="AI69" s="48" t="str">
        <f t="shared" ref="AI69:AK69" si="331">IF($Y69=AI$3,"A","")</f>
        <v>#ERROR!</v>
      </c>
      <c r="AJ69" s="49" t="str">
        <f t="shared" si="331"/>
        <v>#ERROR!</v>
      </c>
      <c r="AK69" s="50" t="str">
        <f t="shared" si="331"/>
        <v>#ERROR!</v>
      </c>
      <c r="AL69" s="48" t="str">
        <f t="shared" ref="AL69:AN69" si="332">IF($Y69=AL$3,"M","")</f>
        <v>#ERROR!</v>
      </c>
      <c r="AM69" s="49" t="str">
        <f t="shared" si="332"/>
        <v>#ERROR!</v>
      </c>
      <c r="AN69" s="50" t="str">
        <f t="shared" si="332"/>
        <v>#ERROR!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5" t="s">
        <v>26</v>
      </c>
      <c r="T70" s="26" t="s">
        <v>186</v>
      </c>
      <c r="U70" s="27" t="str">
        <f>VLOOKUP(T70,X4:Y136,2,FALSE)</f>
        <v>#ERROR!</v>
      </c>
      <c r="V70" s="13"/>
      <c r="W70" s="25" t="s">
        <v>26</v>
      </c>
      <c r="X70" s="26" t="s">
        <v>187</v>
      </c>
      <c r="Y70" s="27" t="str">
        <f>VLOOKUP(X70,[1]!Magic_Energies,2,FALSE)</f>
        <v>#ERROR!</v>
      </c>
      <c r="Z70" s="48" t="str">
        <f t="shared" ref="Z70:AB70" si="333">IF($Y70=Z$3,"S","")</f>
        <v>#ERROR!</v>
      </c>
      <c r="AA70" s="49" t="str">
        <f t="shared" si="333"/>
        <v>#ERROR!</v>
      </c>
      <c r="AB70" s="50" t="str">
        <f t="shared" si="333"/>
        <v>#ERROR!</v>
      </c>
      <c r="AC70" s="48" t="str">
        <f t="shared" ref="AC70:AE70" si="334">IF($Y70=AC$3,"B","")</f>
        <v>#ERROR!</v>
      </c>
      <c r="AD70" s="49" t="str">
        <f t="shared" si="334"/>
        <v>#ERROR!</v>
      </c>
      <c r="AE70" s="50" t="str">
        <f t="shared" si="334"/>
        <v>#ERROR!</v>
      </c>
      <c r="AF70" s="48" t="str">
        <f t="shared" ref="AF70:AH70" si="335">IF($Y70=AF$3,"I","")</f>
        <v>#ERROR!</v>
      </c>
      <c r="AG70" s="49" t="str">
        <f t="shared" si="335"/>
        <v>#ERROR!</v>
      </c>
      <c r="AH70" s="50" t="str">
        <f t="shared" si="335"/>
        <v>#ERROR!</v>
      </c>
      <c r="AI70" s="48" t="str">
        <f t="shared" ref="AI70:AK70" si="336">IF($Y70=AI$3,"A","")</f>
        <v>#ERROR!</v>
      </c>
      <c r="AJ70" s="49" t="str">
        <f t="shared" si="336"/>
        <v>#ERROR!</v>
      </c>
      <c r="AK70" s="50" t="str">
        <f t="shared" si="336"/>
        <v>#ERROR!</v>
      </c>
      <c r="AL70" s="48" t="str">
        <f t="shared" ref="AL70:AN70" si="337">IF($Y70=AL$3,"M","")</f>
        <v>#ERROR!</v>
      </c>
      <c r="AM70" s="49" t="str">
        <f t="shared" si="337"/>
        <v>#ERROR!</v>
      </c>
      <c r="AN70" s="50" t="str">
        <f t="shared" si="337"/>
        <v>#ERROR!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5" t="s">
        <v>26</v>
      </c>
      <c r="T71" s="26" t="s">
        <v>188</v>
      </c>
      <c r="U71" s="27" t="str">
        <f>VLOOKUP(T71,X4:Y136,2,FALSE)</f>
        <v>#ERROR!</v>
      </c>
      <c r="V71" s="13"/>
      <c r="W71" s="25" t="s">
        <v>26</v>
      </c>
      <c r="X71" s="26" t="s">
        <v>189</v>
      </c>
      <c r="Y71" s="27" t="str">
        <f>VLOOKUP(X71,[1]!Magic_Energies,2,FALSE)</f>
        <v>#ERROR!</v>
      </c>
      <c r="Z71" s="48" t="str">
        <f t="shared" ref="Z71:AB71" si="338">IF($Y71=Z$3,"S","")</f>
        <v>#ERROR!</v>
      </c>
      <c r="AA71" s="49" t="str">
        <f t="shared" si="338"/>
        <v>#ERROR!</v>
      </c>
      <c r="AB71" s="50" t="str">
        <f t="shared" si="338"/>
        <v>#ERROR!</v>
      </c>
      <c r="AC71" s="48" t="str">
        <f t="shared" ref="AC71:AE71" si="339">IF($Y71=AC$3,"B","")</f>
        <v>#ERROR!</v>
      </c>
      <c r="AD71" s="49" t="str">
        <f t="shared" si="339"/>
        <v>#ERROR!</v>
      </c>
      <c r="AE71" s="50" t="str">
        <f t="shared" si="339"/>
        <v>#ERROR!</v>
      </c>
      <c r="AF71" s="48" t="str">
        <f t="shared" ref="AF71:AH71" si="340">IF($Y71=AF$3,"I","")</f>
        <v>#ERROR!</v>
      </c>
      <c r="AG71" s="49" t="str">
        <f t="shared" si="340"/>
        <v>#ERROR!</v>
      </c>
      <c r="AH71" s="50" t="str">
        <f t="shared" si="340"/>
        <v>#ERROR!</v>
      </c>
      <c r="AI71" s="48" t="str">
        <f t="shared" ref="AI71:AK71" si="341">IF($Y71=AI$3,"A","")</f>
        <v>#ERROR!</v>
      </c>
      <c r="AJ71" s="49" t="str">
        <f t="shared" si="341"/>
        <v>#ERROR!</v>
      </c>
      <c r="AK71" s="50" t="str">
        <f t="shared" si="341"/>
        <v>#ERROR!</v>
      </c>
      <c r="AL71" s="48" t="str">
        <f t="shared" ref="AL71:AN71" si="342">IF($Y71=AL$3,"M","")</f>
        <v>#ERROR!</v>
      </c>
      <c r="AM71" s="49" t="str">
        <f t="shared" si="342"/>
        <v>#ERROR!</v>
      </c>
      <c r="AN71" s="50" t="str">
        <f t="shared" si="342"/>
        <v>#ERROR!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5" t="s">
        <v>26</v>
      </c>
      <c r="T72" s="26" t="s">
        <v>72</v>
      </c>
      <c r="U72" s="27" t="str">
        <f>VLOOKUP(T72,X4:Y136,2,FALSE)</f>
        <v>#ERROR!</v>
      </c>
      <c r="V72" s="13"/>
      <c r="W72" s="25" t="s">
        <v>26</v>
      </c>
      <c r="X72" s="26" t="s">
        <v>190</v>
      </c>
      <c r="Y72" s="27" t="str">
        <f>VLOOKUP(X72,[1]!Magic_Energies,2,FALSE)</f>
        <v>#ERROR!</v>
      </c>
      <c r="Z72" s="48" t="str">
        <f t="shared" ref="Z72:AB72" si="343">IF($Y72=Z$3,"S","")</f>
        <v>#ERROR!</v>
      </c>
      <c r="AA72" s="49" t="str">
        <f t="shared" si="343"/>
        <v>#ERROR!</v>
      </c>
      <c r="AB72" s="50" t="str">
        <f t="shared" si="343"/>
        <v>#ERROR!</v>
      </c>
      <c r="AC72" s="48" t="str">
        <f t="shared" ref="AC72:AE72" si="344">IF($Y72=AC$3,"B","")</f>
        <v>#ERROR!</v>
      </c>
      <c r="AD72" s="49" t="str">
        <f t="shared" si="344"/>
        <v>#ERROR!</v>
      </c>
      <c r="AE72" s="50" t="str">
        <f t="shared" si="344"/>
        <v>#ERROR!</v>
      </c>
      <c r="AF72" s="48" t="str">
        <f t="shared" ref="AF72:AH72" si="345">IF($Y72=AF$3,"I","")</f>
        <v>#ERROR!</v>
      </c>
      <c r="AG72" s="49" t="str">
        <f t="shared" si="345"/>
        <v>#ERROR!</v>
      </c>
      <c r="AH72" s="50" t="str">
        <f t="shared" si="345"/>
        <v>#ERROR!</v>
      </c>
      <c r="AI72" s="48" t="str">
        <f t="shared" ref="AI72:AK72" si="346">IF($Y72=AI$3,"A","")</f>
        <v>#ERROR!</v>
      </c>
      <c r="AJ72" s="49" t="str">
        <f t="shared" si="346"/>
        <v>#ERROR!</v>
      </c>
      <c r="AK72" s="50" t="str">
        <f t="shared" si="346"/>
        <v>#ERROR!</v>
      </c>
      <c r="AL72" s="48" t="str">
        <f t="shared" ref="AL72:AN72" si="347">IF($Y72=AL$3,"M","")</f>
        <v>#ERROR!</v>
      </c>
      <c r="AM72" s="49" t="str">
        <f t="shared" si="347"/>
        <v>#ERROR!</v>
      </c>
      <c r="AN72" s="50" t="str">
        <f t="shared" si="347"/>
        <v>#ERROR!</v>
      </c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5" t="s">
        <v>26</v>
      </c>
      <c r="T73" s="26" t="s">
        <v>155</v>
      </c>
      <c r="U73" s="27" t="str">
        <f>VLOOKUP(T73,X4:Y136,2,FALSE)</f>
        <v>#ERROR!</v>
      </c>
      <c r="V73" s="13"/>
      <c r="W73" s="25" t="s">
        <v>26</v>
      </c>
      <c r="X73" s="26" t="s">
        <v>191</v>
      </c>
      <c r="Y73" s="27" t="str">
        <f>VLOOKUP(X73,[1]!Magic_Energies,2,FALSE)</f>
        <v>#ERROR!</v>
      </c>
      <c r="Z73" s="48" t="str">
        <f t="shared" ref="Z73:AB73" si="348">IF($Y73=Z$3,"S","")</f>
        <v>#ERROR!</v>
      </c>
      <c r="AA73" s="49" t="str">
        <f t="shared" si="348"/>
        <v>#ERROR!</v>
      </c>
      <c r="AB73" s="50" t="str">
        <f t="shared" si="348"/>
        <v>#ERROR!</v>
      </c>
      <c r="AC73" s="48" t="str">
        <f t="shared" ref="AC73:AE73" si="349">IF($Y73=AC$3,"B","")</f>
        <v>#ERROR!</v>
      </c>
      <c r="AD73" s="49" t="str">
        <f t="shared" si="349"/>
        <v>#ERROR!</v>
      </c>
      <c r="AE73" s="50" t="str">
        <f t="shared" si="349"/>
        <v>#ERROR!</v>
      </c>
      <c r="AF73" s="48" t="str">
        <f t="shared" ref="AF73:AH73" si="350">IF($Y73=AF$3,"I","")</f>
        <v>#ERROR!</v>
      </c>
      <c r="AG73" s="49" t="str">
        <f t="shared" si="350"/>
        <v>#ERROR!</v>
      </c>
      <c r="AH73" s="50" t="str">
        <f t="shared" si="350"/>
        <v>#ERROR!</v>
      </c>
      <c r="AI73" s="48" t="str">
        <f t="shared" ref="AI73:AK73" si="351">IF($Y73=AI$3,"A","")</f>
        <v>#ERROR!</v>
      </c>
      <c r="AJ73" s="49" t="str">
        <f t="shared" si="351"/>
        <v>#ERROR!</v>
      </c>
      <c r="AK73" s="50" t="str">
        <f t="shared" si="351"/>
        <v>#ERROR!</v>
      </c>
      <c r="AL73" s="48" t="str">
        <f t="shared" ref="AL73:AN73" si="352">IF($Y73=AL$3,"M","")</f>
        <v>#ERROR!</v>
      </c>
      <c r="AM73" s="49" t="str">
        <f t="shared" si="352"/>
        <v>#ERROR!</v>
      </c>
      <c r="AN73" s="50" t="str">
        <f t="shared" si="352"/>
        <v>#ERROR!</v>
      </c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5" t="s">
        <v>26</v>
      </c>
      <c r="T74" s="26" t="s">
        <v>185</v>
      </c>
      <c r="U74" s="27" t="str">
        <f>VLOOKUP(T74,X4:Y136,2,FALSE)</f>
        <v>#ERROR!</v>
      </c>
      <c r="V74" s="13"/>
      <c r="W74" s="25" t="s">
        <v>26</v>
      </c>
      <c r="X74" s="26" t="s">
        <v>192</v>
      </c>
      <c r="Y74" s="27" t="str">
        <f>VLOOKUP(X74,[1]!Magic_Energies,2,FALSE)</f>
        <v>#ERROR!</v>
      </c>
      <c r="Z74" s="48" t="str">
        <f t="shared" ref="Z74:AB74" si="353">IF($Y74=Z$3,"S","")</f>
        <v>#ERROR!</v>
      </c>
      <c r="AA74" s="49" t="str">
        <f t="shared" si="353"/>
        <v>#ERROR!</v>
      </c>
      <c r="AB74" s="50" t="str">
        <f t="shared" si="353"/>
        <v>#ERROR!</v>
      </c>
      <c r="AC74" s="48" t="str">
        <f t="shared" ref="AC74:AE74" si="354">IF($Y74=AC$3,"B","")</f>
        <v>#ERROR!</v>
      </c>
      <c r="AD74" s="49" t="str">
        <f t="shared" si="354"/>
        <v>#ERROR!</v>
      </c>
      <c r="AE74" s="50" t="str">
        <f t="shared" si="354"/>
        <v>#ERROR!</v>
      </c>
      <c r="AF74" s="48" t="str">
        <f t="shared" ref="AF74:AH74" si="355">IF($Y74=AF$3,"I","")</f>
        <v>#ERROR!</v>
      </c>
      <c r="AG74" s="49" t="str">
        <f t="shared" si="355"/>
        <v>#ERROR!</v>
      </c>
      <c r="AH74" s="50" t="str">
        <f t="shared" si="355"/>
        <v>#ERROR!</v>
      </c>
      <c r="AI74" s="48" t="str">
        <f t="shared" ref="AI74:AK74" si="356">IF($Y74=AI$3,"A","")</f>
        <v>#ERROR!</v>
      </c>
      <c r="AJ74" s="49" t="str">
        <f t="shared" si="356"/>
        <v>#ERROR!</v>
      </c>
      <c r="AK74" s="50" t="str">
        <f t="shared" si="356"/>
        <v>#ERROR!</v>
      </c>
      <c r="AL74" s="48" t="str">
        <f t="shared" ref="AL74:AN74" si="357">IF($Y74=AL$3,"M","")</f>
        <v>#ERROR!</v>
      </c>
      <c r="AM74" s="49" t="str">
        <f t="shared" si="357"/>
        <v>#ERROR!</v>
      </c>
      <c r="AN74" s="50" t="str">
        <f t="shared" si="357"/>
        <v>#ERROR!</v>
      </c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5" t="s">
        <v>26</v>
      </c>
      <c r="T75" s="26" t="s">
        <v>193</v>
      </c>
      <c r="U75" s="27" t="str">
        <f>VLOOKUP(T75,X4:Y136,2,FALSE)</f>
        <v>#ERROR!</v>
      </c>
      <c r="V75" s="13"/>
      <c r="W75" s="25" t="s">
        <v>18</v>
      </c>
      <c r="X75" s="26" t="s">
        <v>19</v>
      </c>
      <c r="Y75" s="27" t="str">
        <f>VLOOKUP(X75,[1]!Magic_Energies,2,FALSE)</f>
        <v>#ERROR!</v>
      </c>
      <c r="Z75" s="48" t="str">
        <f t="shared" ref="Z75:AB75" si="358">IF($Y75=Z$3,"S","")</f>
        <v>#ERROR!</v>
      </c>
      <c r="AA75" s="49" t="str">
        <f t="shared" si="358"/>
        <v>#ERROR!</v>
      </c>
      <c r="AB75" s="50" t="str">
        <f t="shared" si="358"/>
        <v>#ERROR!</v>
      </c>
      <c r="AC75" s="48" t="str">
        <f t="shared" ref="AC75:AE75" si="359">IF($Y75=AC$3,"B","")</f>
        <v>#ERROR!</v>
      </c>
      <c r="AD75" s="49" t="str">
        <f t="shared" si="359"/>
        <v>#ERROR!</v>
      </c>
      <c r="AE75" s="50" t="str">
        <f t="shared" si="359"/>
        <v>#ERROR!</v>
      </c>
      <c r="AF75" s="48" t="str">
        <f t="shared" ref="AF75:AH75" si="360">IF($Y75=AF$3,"I","")</f>
        <v>#ERROR!</v>
      </c>
      <c r="AG75" s="49" t="str">
        <f t="shared" si="360"/>
        <v>#ERROR!</v>
      </c>
      <c r="AH75" s="50" t="str">
        <f t="shared" si="360"/>
        <v>#ERROR!</v>
      </c>
      <c r="AI75" s="48" t="str">
        <f t="shared" ref="AI75:AK75" si="361">IF($Y75=AI$3,"A","")</f>
        <v>#ERROR!</v>
      </c>
      <c r="AJ75" s="49" t="str">
        <f t="shared" si="361"/>
        <v>#ERROR!</v>
      </c>
      <c r="AK75" s="50" t="str">
        <f t="shared" si="361"/>
        <v>#ERROR!</v>
      </c>
      <c r="AL75" s="48" t="str">
        <f t="shared" ref="AL75:AN75" si="362">IF($Y75=AL$3,"M","")</f>
        <v>#ERROR!</v>
      </c>
      <c r="AM75" s="49" t="str">
        <f t="shared" si="362"/>
        <v>#ERROR!</v>
      </c>
      <c r="AN75" s="50" t="str">
        <f t="shared" si="362"/>
        <v>#ERROR!</v>
      </c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5" t="s">
        <v>26</v>
      </c>
      <c r="T76" s="26" t="s">
        <v>194</v>
      </c>
      <c r="U76" s="27" t="str">
        <f>VLOOKUP(T76,X4:Y136,2,FALSE)</f>
        <v>#ERROR!</v>
      </c>
      <c r="V76" s="13"/>
      <c r="W76" s="25" t="s">
        <v>26</v>
      </c>
      <c r="X76" s="26" t="s">
        <v>40</v>
      </c>
      <c r="Y76" s="27" t="str">
        <f>VLOOKUP(X76,[1]!Magic_Energies,2,FALSE)</f>
        <v>#ERROR!</v>
      </c>
      <c r="Z76" s="48" t="str">
        <f t="shared" ref="Z76:AB76" si="363">IF($Y76=Z$3,"S","")</f>
        <v>#ERROR!</v>
      </c>
      <c r="AA76" s="49" t="str">
        <f t="shared" si="363"/>
        <v>#ERROR!</v>
      </c>
      <c r="AB76" s="50" t="str">
        <f t="shared" si="363"/>
        <v>#ERROR!</v>
      </c>
      <c r="AC76" s="48" t="str">
        <f t="shared" ref="AC76:AE76" si="364">IF($Y76=AC$3,"B","")</f>
        <v>#ERROR!</v>
      </c>
      <c r="AD76" s="49" t="str">
        <f t="shared" si="364"/>
        <v>#ERROR!</v>
      </c>
      <c r="AE76" s="50" t="str">
        <f t="shared" si="364"/>
        <v>#ERROR!</v>
      </c>
      <c r="AF76" s="48" t="str">
        <f t="shared" ref="AF76:AH76" si="365">IF($Y76=AF$3,"I","")</f>
        <v>#ERROR!</v>
      </c>
      <c r="AG76" s="49" t="str">
        <f t="shared" si="365"/>
        <v>#ERROR!</v>
      </c>
      <c r="AH76" s="50" t="str">
        <f t="shared" si="365"/>
        <v>#ERROR!</v>
      </c>
      <c r="AI76" s="48" t="str">
        <f t="shared" ref="AI76:AK76" si="366">IF($Y76=AI$3,"A","")</f>
        <v>#ERROR!</v>
      </c>
      <c r="AJ76" s="49" t="str">
        <f t="shared" si="366"/>
        <v>#ERROR!</v>
      </c>
      <c r="AK76" s="50" t="str">
        <f t="shared" si="366"/>
        <v>#ERROR!</v>
      </c>
      <c r="AL76" s="48" t="str">
        <f t="shared" ref="AL76:AN76" si="367">IF($Y76=AL$3,"M","")</f>
        <v>#ERROR!</v>
      </c>
      <c r="AM76" s="49" t="str">
        <f t="shared" si="367"/>
        <v>#ERROR!</v>
      </c>
      <c r="AN76" s="50" t="str">
        <f t="shared" si="367"/>
        <v>#ERROR!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5" t="s">
        <v>18</v>
      </c>
      <c r="T77" s="26" t="s">
        <v>195</v>
      </c>
      <c r="U77" s="27" t="str">
        <f>VLOOKUP(T77,X4:Y136,2,FALSE)</f>
        <v>#ERROR!</v>
      </c>
      <c r="V77" s="13"/>
      <c r="W77" s="25" t="s">
        <v>52</v>
      </c>
      <c r="X77" s="26" t="s">
        <v>98</v>
      </c>
      <c r="Y77" s="27" t="str">
        <f>VLOOKUP(X77,[1]!Magic_Energies,2,FALSE)</f>
        <v>#ERROR!</v>
      </c>
      <c r="Z77" s="48" t="str">
        <f t="shared" ref="Z77:AB77" si="368">IF($Y77=Z$3,"S","")</f>
        <v>#ERROR!</v>
      </c>
      <c r="AA77" s="49" t="str">
        <f t="shared" si="368"/>
        <v>#ERROR!</v>
      </c>
      <c r="AB77" s="50" t="str">
        <f t="shared" si="368"/>
        <v>#ERROR!</v>
      </c>
      <c r="AC77" s="48" t="str">
        <f t="shared" ref="AC77:AE77" si="369">IF($Y77=AC$3,"B","")</f>
        <v>#ERROR!</v>
      </c>
      <c r="AD77" s="49" t="str">
        <f t="shared" si="369"/>
        <v>#ERROR!</v>
      </c>
      <c r="AE77" s="50" t="str">
        <f t="shared" si="369"/>
        <v>#ERROR!</v>
      </c>
      <c r="AF77" s="48" t="str">
        <f t="shared" ref="AF77:AH77" si="370">IF($Y77=AF$3,"I","")</f>
        <v>#ERROR!</v>
      </c>
      <c r="AG77" s="49" t="str">
        <f t="shared" si="370"/>
        <v>#ERROR!</v>
      </c>
      <c r="AH77" s="50" t="str">
        <f t="shared" si="370"/>
        <v>#ERROR!</v>
      </c>
      <c r="AI77" s="48" t="str">
        <f t="shared" ref="AI77:AK77" si="371">IF($Y77=AI$3,"A","")</f>
        <v>#ERROR!</v>
      </c>
      <c r="AJ77" s="49" t="str">
        <f t="shared" si="371"/>
        <v>#ERROR!</v>
      </c>
      <c r="AK77" s="50" t="str">
        <f t="shared" si="371"/>
        <v>#ERROR!</v>
      </c>
      <c r="AL77" s="48" t="str">
        <f t="shared" ref="AL77:AN77" si="372">IF($Y77=AL$3,"M","")</f>
        <v>#ERROR!</v>
      </c>
      <c r="AM77" s="49" t="str">
        <f t="shared" si="372"/>
        <v>#ERROR!</v>
      </c>
      <c r="AN77" s="50" t="str">
        <f t="shared" si="372"/>
        <v>#ERROR!</v>
      </c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5" t="s">
        <v>18</v>
      </c>
      <c r="T78" s="26" t="s">
        <v>75</v>
      </c>
      <c r="U78" s="27" t="str">
        <f>VLOOKUP(T78,X4:Y136,2,FALSE)</f>
        <v>#ERROR!</v>
      </c>
      <c r="V78" s="13"/>
      <c r="W78" s="25" t="s">
        <v>26</v>
      </c>
      <c r="X78" s="26" t="s">
        <v>115</v>
      </c>
      <c r="Y78" s="27" t="str">
        <f>VLOOKUP(X78,[1]!Magic_Energies,2,FALSE)</f>
        <v>#ERROR!</v>
      </c>
      <c r="Z78" s="48" t="str">
        <f t="shared" ref="Z78:AB78" si="373">IF($Y78=Z$3,"S","")</f>
        <v>#ERROR!</v>
      </c>
      <c r="AA78" s="49" t="str">
        <f t="shared" si="373"/>
        <v>#ERROR!</v>
      </c>
      <c r="AB78" s="50" t="str">
        <f t="shared" si="373"/>
        <v>#ERROR!</v>
      </c>
      <c r="AC78" s="48" t="str">
        <f t="shared" ref="AC78:AE78" si="374">IF($Y78=AC$3,"B","")</f>
        <v>#ERROR!</v>
      </c>
      <c r="AD78" s="49" t="str">
        <f t="shared" si="374"/>
        <v>#ERROR!</v>
      </c>
      <c r="AE78" s="50" t="str">
        <f t="shared" si="374"/>
        <v>#ERROR!</v>
      </c>
      <c r="AF78" s="48" t="str">
        <f t="shared" ref="AF78:AH78" si="375">IF($Y78=AF$3,"I","")</f>
        <v>#ERROR!</v>
      </c>
      <c r="AG78" s="49" t="str">
        <f t="shared" si="375"/>
        <v>#ERROR!</v>
      </c>
      <c r="AH78" s="50" t="str">
        <f t="shared" si="375"/>
        <v>#ERROR!</v>
      </c>
      <c r="AI78" s="48" t="str">
        <f t="shared" ref="AI78:AK78" si="376">IF($Y78=AI$3,"A","")</f>
        <v>#ERROR!</v>
      </c>
      <c r="AJ78" s="49" t="str">
        <f t="shared" si="376"/>
        <v>#ERROR!</v>
      </c>
      <c r="AK78" s="50" t="str">
        <f t="shared" si="376"/>
        <v>#ERROR!</v>
      </c>
      <c r="AL78" s="48" t="str">
        <f t="shared" ref="AL78:AN78" si="377">IF($Y78=AL$3,"M","")</f>
        <v>#ERROR!</v>
      </c>
      <c r="AM78" s="49" t="str">
        <f t="shared" si="377"/>
        <v>#ERROR!</v>
      </c>
      <c r="AN78" s="50" t="str">
        <f t="shared" si="377"/>
        <v>#ERROR!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25" t="s">
        <v>26</v>
      </c>
      <c r="T79" s="26" t="s">
        <v>196</v>
      </c>
      <c r="U79" s="27" t="str">
        <f>VLOOKUP(T79,X4:Y136,2,FALSE)</f>
        <v>#ERROR!</v>
      </c>
      <c r="V79" s="13"/>
      <c r="W79" s="25" t="s">
        <v>26</v>
      </c>
      <c r="X79" s="26" t="s">
        <v>134</v>
      </c>
      <c r="Y79" s="27" t="str">
        <f>VLOOKUP(X79,[1]!Magic_Energies,2,FALSE)</f>
        <v>#ERROR!</v>
      </c>
      <c r="Z79" s="48" t="str">
        <f t="shared" ref="Z79:AB79" si="378">IF($Y79=Z$3,"S","")</f>
        <v>#ERROR!</v>
      </c>
      <c r="AA79" s="49" t="str">
        <f t="shared" si="378"/>
        <v>#ERROR!</v>
      </c>
      <c r="AB79" s="50" t="str">
        <f t="shared" si="378"/>
        <v>#ERROR!</v>
      </c>
      <c r="AC79" s="48" t="str">
        <f t="shared" ref="AC79:AE79" si="379">IF($Y79=AC$3,"B","")</f>
        <v>#ERROR!</v>
      </c>
      <c r="AD79" s="49" t="str">
        <f t="shared" si="379"/>
        <v>#ERROR!</v>
      </c>
      <c r="AE79" s="50" t="str">
        <f t="shared" si="379"/>
        <v>#ERROR!</v>
      </c>
      <c r="AF79" s="48" t="str">
        <f t="shared" ref="AF79:AH79" si="380">IF($Y79=AF$3,"I","")</f>
        <v>#ERROR!</v>
      </c>
      <c r="AG79" s="49" t="str">
        <f t="shared" si="380"/>
        <v>#ERROR!</v>
      </c>
      <c r="AH79" s="50" t="str">
        <f t="shared" si="380"/>
        <v>#ERROR!</v>
      </c>
      <c r="AI79" s="48" t="str">
        <f t="shared" ref="AI79:AK79" si="381">IF($Y79=AI$3,"A","")</f>
        <v>#ERROR!</v>
      </c>
      <c r="AJ79" s="49" t="str">
        <f t="shared" si="381"/>
        <v>#ERROR!</v>
      </c>
      <c r="AK79" s="50" t="str">
        <f t="shared" si="381"/>
        <v>#ERROR!</v>
      </c>
      <c r="AL79" s="48" t="str">
        <f t="shared" ref="AL79:AN79" si="382">IF($Y79=AL$3,"M","")</f>
        <v>#ERROR!</v>
      </c>
      <c r="AM79" s="49" t="str">
        <f t="shared" si="382"/>
        <v>#ERROR!</v>
      </c>
      <c r="AN79" s="50" t="str">
        <f t="shared" si="382"/>
        <v>#ERROR!</v>
      </c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5" t="s">
        <v>26</v>
      </c>
      <c r="T80" s="26" t="s">
        <v>78</v>
      </c>
      <c r="U80" s="27" t="str">
        <f>VLOOKUP(T80,X4:Y136,2,FALSE)</f>
        <v>#ERROR!</v>
      </c>
      <c r="V80" s="13"/>
      <c r="W80" s="25" t="s">
        <v>26</v>
      </c>
      <c r="X80" s="26" t="s">
        <v>197</v>
      </c>
      <c r="Y80" s="27" t="str">
        <f>VLOOKUP(X80,[1]!Magic_Energies,2,FALSE)</f>
        <v>#ERROR!</v>
      </c>
      <c r="Z80" s="48" t="str">
        <f t="shared" ref="Z80:AB80" si="383">IF($Y80=Z$3,"S","")</f>
        <v>#ERROR!</v>
      </c>
      <c r="AA80" s="49" t="str">
        <f t="shared" si="383"/>
        <v>#ERROR!</v>
      </c>
      <c r="AB80" s="50" t="str">
        <f t="shared" si="383"/>
        <v>#ERROR!</v>
      </c>
      <c r="AC80" s="48" t="str">
        <f t="shared" ref="AC80:AE80" si="384">IF($Y80=AC$3,"B","")</f>
        <v>#ERROR!</v>
      </c>
      <c r="AD80" s="49" t="str">
        <f t="shared" si="384"/>
        <v>#ERROR!</v>
      </c>
      <c r="AE80" s="50" t="str">
        <f t="shared" si="384"/>
        <v>#ERROR!</v>
      </c>
      <c r="AF80" s="48" t="str">
        <f t="shared" ref="AF80:AH80" si="385">IF($Y80=AF$3,"I","")</f>
        <v>#ERROR!</v>
      </c>
      <c r="AG80" s="49" t="str">
        <f t="shared" si="385"/>
        <v>#ERROR!</v>
      </c>
      <c r="AH80" s="50" t="str">
        <f t="shared" si="385"/>
        <v>#ERROR!</v>
      </c>
      <c r="AI80" s="48" t="str">
        <f t="shared" ref="AI80:AK80" si="386">IF($Y80=AI$3,"A","")</f>
        <v>#ERROR!</v>
      </c>
      <c r="AJ80" s="49" t="str">
        <f t="shared" si="386"/>
        <v>#ERROR!</v>
      </c>
      <c r="AK80" s="50" t="str">
        <f t="shared" si="386"/>
        <v>#ERROR!</v>
      </c>
      <c r="AL80" s="48" t="str">
        <f t="shared" ref="AL80:AN80" si="387">IF($Y80=AL$3,"M","")</f>
        <v>#ERROR!</v>
      </c>
      <c r="AM80" s="49" t="str">
        <f t="shared" si="387"/>
        <v>#ERROR!</v>
      </c>
      <c r="AN80" s="50" t="str">
        <f t="shared" si="387"/>
        <v>#ERROR!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25" t="s">
        <v>26</v>
      </c>
      <c r="T81" s="26" t="s">
        <v>157</v>
      </c>
      <c r="U81" s="27" t="str">
        <f>VLOOKUP(T81,X4:Y136,2,FALSE)</f>
        <v>#ERROR!</v>
      </c>
      <c r="V81" s="13"/>
      <c r="W81" s="25" t="s">
        <v>26</v>
      </c>
      <c r="X81" s="26" t="s">
        <v>198</v>
      </c>
      <c r="Y81" s="27" t="str">
        <f>VLOOKUP(X81,[1]!Magic_Energies,2,FALSE)</f>
        <v>#ERROR!</v>
      </c>
      <c r="Z81" s="48" t="str">
        <f t="shared" ref="Z81:AB81" si="388">IF($Y81=Z$3,"S","")</f>
        <v>#ERROR!</v>
      </c>
      <c r="AA81" s="49" t="str">
        <f t="shared" si="388"/>
        <v>#ERROR!</v>
      </c>
      <c r="AB81" s="50" t="str">
        <f t="shared" si="388"/>
        <v>#ERROR!</v>
      </c>
      <c r="AC81" s="48" t="str">
        <f t="shared" ref="AC81:AE81" si="389">IF($Y81=AC$3,"B","")</f>
        <v>#ERROR!</v>
      </c>
      <c r="AD81" s="49" t="str">
        <f t="shared" si="389"/>
        <v>#ERROR!</v>
      </c>
      <c r="AE81" s="50" t="str">
        <f t="shared" si="389"/>
        <v>#ERROR!</v>
      </c>
      <c r="AF81" s="48" t="str">
        <f t="shared" ref="AF81:AH81" si="390">IF($Y81=AF$3,"I","")</f>
        <v>#ERROR!</v>
      </c>
      <c r="AG81" s="49" t="str">
        <f t="shared" si="390"/>
        <v>#ERROR!</v>
      </c>
      <c r="AH81" s="50" t="str">
        <f t="shared" si="390"/>
        <v>#ERROR!</v>
      </c>
      <c r="AI81" s="48" t="str">
        <f t="shared" ref="AI81:AK81" si="391">IF($Y81=AI$3,"A","")</f>
        <v>#ERROR!</v>
      </c>
      <c r="AJ81" s="49" t="str">
        <f t="shared" si="391"/>
        <v>#ERROR!</v>
      </c>
      <c r="AK81" s="50" t="str">
        <f t="shared" si="391"/>
        <v>#ERROR!</v>
      </c>
      <c r="AL81" s="48" t="str">
        <f t="shared" ref="AL81:AN81" si="392">IF($Y81=AL$3,"M","")</f>
        <v>#ERROR!</v>
      </c>
      <c r="AM81" s="49" t="str">
        <f t="shared" si="392"/>
        <v>#ERROR!</v>
      </c>
      <c r="AN81" s="50" t="str">
        <f t="shared" si="392"/>
        <v>#ERROR!</v>
      </c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5" t="s">
        <v>26</v>
      </c>
      <c r="T82" s="26" t="s">
        <v>187</v>
      </c>
      <c r="U82" s="27" t="str">
        <f>VLOOKUP(T82,X4:Y136,2,FALSE)</f>
        <v>#ERROR!</v>
      </c>
      <c r="V82" s="13"/>
      <c r="W82" s="25" t="s">
        <v>26</v>
      </c>
      <c r="X82" s="26" t="s">
        <v>199</v>
      </c>
      <c r="Y82" s="27" t="str">
        <f>VLOOKUP(X82,[1]!Magic_Energies,2,FALSE)</f>
        <v>#ERROR!</v>
      </c>
      <c r="Z82" s="48" t="str">
        <f t="shared" ref="Z82:AB82" si="393">IF($Y82=Z$3,"S","")</f>
        <v>#ERROR!</v>
      </c>
      <c r="AA82" s="49" t="str">
        <f t="shared" si="393"/>
        <v>#ERROR!</v>
      </c>
      <c r="AB82" s="50" t="str">
        <f t="shared" si="393"/>
        <v>#ERROR!</v>
      </c>
      <c r="AC82" s="48" t="str">
        <f t="shared" ref="AC82:AE82" si="394">IF($Y82=AC$3,"B","")</f>
        <v>#ERROR!</v>
      </c>
      <c r="AD82" s="49" t="str">
        <f t="shared" si="394"/>
        <v>#ERROR!</v>
      </c>
      <c r="AE82" s="50" t="str">
        <f t="shared" si="394"/>
        <v>#ERROR!</v>
      </c>
      <c r="AF82" s="48" t="str">
        <f t="shared" ref="AF82:AH82" si="395">IF($Y82=AF$3,"I","")</f>
        <v>#ERROR!</v>
      </c>
      <c r="AG82" s="49" t="str">
        <f t="shared" si="395"/>
        <v>#ERROR!</v>
      </c>
      <c r="AH82" s="50" t="str">
        <f t="shared" si="395"/>
        <v>#ERROR!</v>
      </c>
      <c r="AI82" s="48" t="str">
        <f t="shared" ref="AI82:AK82" si="396">IF($Y82=AI$3,"A","")</f>
        <v>#ERROR!</v>
      </c>
      <c r="AJ82" s="49" t="str">
        <f t="shared" si="396"/>
        <v>#ERROR!</v>
      </c>
      <c r="AK82" s="50" t="str">
        <f t="shared" si="396"/>
        <v>#ERROR!</v>
      </c>
      <c r="AL82" s="48" t="str">
        <f t="shared" ref="AL82:AN82" si="397">IF($Y82=AL$3,"M","")</f>
        <v>#ERROR!</v>
      </c>
      <c r="AM82" s="49" t="str">
        <f t="shared" si="397"/>
        <v>#ERROR!</v>
      </c>
      <c r="AN82" s="50" t="str">
        <f t="shared" si="397"/>
        <v>#ERROR!</v>
      </c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5" t="s">
        <v>26</v>
      </c>
      <c r="T83" s="26" t="s">
        <v>200</v>
      </c>
      <c r="U83" s="27" t="str">
        <f>VLOOKUP(T83,X4:Y136,2,FALSE)</f>
        <v>#ERROR!</v>
      </c>
      <c r="V83" s="13"/>
      <c r="W83" s="25" t="s">
        <v>52</v>
      </c>
      <c r="X83" s="26" t="s">
        <v>53</v>
      </c>
      <c r="Y83" s="27" t="str">
        <f>VLOOKUP(X83,[1]!Magic_Energies,2,FALSE)</f>
        <v>#ERROR!</v>
      </c>
      <c r="Z83" s="48" t="str">
        <f t="shared" ref="Z83:AB83" si="398">IF($Y83=Z$3,"S","")</f>
        <v>#ERROR!</v>
      </c>
      <c r="AA83" s="49" t="str">
        <f t="shared" si="398"/>
        <v>#ERROR!</v>
      </c>
      <c r="AB83" s="50" t="str">
        <f t="shared" si="398"/>
        <v>#ERROR!</v>
      </c>
      <c r="AC83" s="48" t="str">
        <f t="shared" ref="AC83:AE83" si="399">IF($Y83=AC$3,"B","")</f>
        <v>#ERROR!</v>
      </c>
      <c r="AD83" s="49" t="str">
        <f t="shared" si="399"/>
        <v>#ERROR!</v>
      </c>
      <c r="AE83" s="50" t="str">
        <f t="shared" si="399"/>
        <v>#ERROR!</v>
      </c>
      <c r="AF83" s="48" t="str">
        <f t="shared" ref="AF83:AH83" si="400">IF($Y83=AF$3,"I","")</f>
        <v>#ERROR!</v>
      </c>
      <c r="AG83" s="49" t="str">
        <f t="shared" si="400"/>
        <v>#ERROR!</v>
      </c>
      <c r="AH83" s="50" t="str">
        <f t="shared" si="400"/>
        <v>#ERROR!</v>
      </c>
      <c r="AI83" s="48" t="str">
        <f t="shared" ref="AI83:AK83" si="401">IF($Y83=AI$3,"A","")</f>
        <v>#ERROR!</v>
      </c>
      <c r="AJ83" s="49" t="str">
        <f t="shared" si="401"/>
        <v>#ERROR!</v>
      </c>
      <c r="AK83" s="50" t="str">
        <f t="shared" si="401"/>
        <v>#ERROR!</v>
      </c>
      <c r="AL83" s="48" t="str">
        <f t="shared" ref="AL83:AN83" si="402">IF($Y83=AL$3,"M","")</f>
        <v>#ERROR!</v>
      </c>
      <c r="AM83" s="49" t="str">
        <f t="shared" si="402"/>
        <v>#ERROR!</v>
      </c>
      <c r="AN83" s="50" t="str">
        <f t="shared" si="402"/>
        <v>#ERROR!</v>
      </c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5" t="s">
        <v>26</v>
      </c>
      <c r="T84" s="26" t="s">
        <v>201</v>
      </c>
      <c r="U84" s="27" t="str">
        <f>VLOOKUP(T84,X4:Y136,2,FALSE)</f>
        <v>#ERROR!</v>
      </c>
      <c r="V84" s="13"/>
      <c r="W84" s="25" t="s">
        <v>52</v>
      </c>
      <c r="X84" s="26" t="s">
        <v>74</v>
      </c>
      <c r="Y84" s="27" t="str">
        <f>VLOOKUP(X84,[1]!Magic_Energies,2,FALSE)</f>
        <v>#ERROR!</v>
      </c>
      <c r="Z84" s="48" t="str">
        <f t="shared" ref="Z84:AB84" si="403">IF($Y84=Z$3,"S","")</f>
        <v>#ERROR!</v>
      </c>
      <c r="AA84" s="49" t="str">
        <f t="shared" si="403"/>
        <v>#ERROR!</v>
      </c>
      <c r="AB84" s="50" t="str">
        <f t="shared" si="403"/>
        <v>#ERROR!</v>
      </c>
      <c r="AC84" s="48" t="str">
        <f t="shared" ref="AC84:AE84" si="404">IF($Y84=AC$3,"B","")</f>
        <v>#ERROR!</v>
      </c>
      <c r="AD84" s="49" t="str">
        <f t="shared" si="404"/>
        <v>#ERROR!</v>
      </c>
      <c r="AE84" s="50" t="str">
        <f t="shared" si="404"/>
        <v>#ERROR!</v>
      </c>
      <c r="AF84" s="48" t="str">
        <f t="shared" ref="AF84:AH84" si="405">IF($Y84=AF$3,"I","")</f>
        <v>#ERROR!</v>
      </c>
      <c r="AG84" s="49" t="str">
        <f t="shared" si="405"/>
        <v>#ERROR!</v>
      </c>
      <c r="AH84" s="50" t="str">
        <f t="shared" si="405"/>
        <v>#ERROR!</v>
      </c>
      <c r="AI84" s="48" t="str">
        <f t="shared" ref="AI84:AK84" si="406">IF($Y84=AI$3,"A","")</f>
        <v>#ERROR!</v>
      </c>
      <c r="AJ84" s="49" t="str">
        <f t="shared" si="406"/>
        <v>#ERROR!</v>
      </c>
      <c r="AK84" s="50" t="str">
        <f t="shared" si="406"/>
        <v>#ERROR!</v>
      </c>
      <c r="AL84" s="48" t="str">
        <f t="shared" ref="AL84:AN84" si="407">IF($Y84=AL$3,"M","")</f>
        <v>#ERROR!</v>
      </c>
      <c r="AM84" s="49" t="str">
        <f t="shared" si="407"/>
        <v>#ERROR!</v>
      </c>
      <c r="AN84" s="50" t="str">
        <f t="shared" si="407"/>
        <v>#ERROR!</v>
      </c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25" t="s">
        <v>26</v>
      </c>
      <c r="T85" s="26" t="s">
        <v>102</v>
      </c>
      <c r="U85" s="27" t="str">
        <f>VLOOKUP(T85,X4:Y136,2,FALSE)</f>
        <v>#ERROR!</v>
      </c>
      <c r="V85" s="13"/>
      <c r="W85" s="25" t="s">
        <v>26</v>
      </c>
      <c r="X85" s="26" t="s">
        <v>92</v>
      </c>
      <c r="Y85" s="27" t="str">
        <f>VLOOKUP(X85,[1]!Magic_Energies,2,FALSE)</f>
        <v>#ERROR!</v>
      </c>
      <c r="Z85" s="48" t="str">
        <f t="shared" ref="Z85:AB85" si="408">IF($Y85=Z$3,"S","")</f>
        <v>#ERROR!</v>
      </c>
      <c r="AA85" s="49" t="str">
        <f t="shared" si="408"/>
        <v>#ERROR!</v>
      </c>
      <c r="AB85" s="50" t="str">
        <f t="shared" si="408"/>
        <v>#ERROR!</v>
      </c>
      <c r="AC85" s="48" t="str">
        <f t="shared" ref="AC85:AE85" si="409">IF($Y85=AC$3,"B","")</f>
        <v>#ERROR!</v>
      </c>
      <c r="AD85" s="49" t="str">
        <f t="shared" si="409"/>
        <v>#ERROR!</v>
      </c>
      <c r="AE85" s="50" t="str">
        <f t="shared" si="409"/>
        <v>#ERROR!</v>
      </c>
      <c r="AF85" s="48" t="str">
        <f t="shared" ref="AF85:AH85" si="410">IF($Y85=AF$3,"I","")</f>
        <v>#ERROR!</v>
      </c>
      <c r="AG85" s="49" t="str">
        <f t="shared" si="410"/>
        <v>#ERROR!</v>
      </c>
      <c r="AH85" s="50" t="str">
        <f t="shared" si="410"/>
        <v>#ERROR!</v>
      </c>
      <c r="AI85" s="48" t="str">
        <f t="shared" ref="AI85:AK85" si="411">IF($Y85=AI$3,"A","")</f>
        <v>#ERROR!</v>
      </c>
      <c r="AJ85" s="49" t="str">
        <f t="shared" si="411"/>
        <v>#ERROR!</v>
      </c>
      <c r="AK85" s="50" t="str">
        <f t="shared" si="411"/>
        <v>#ERROR!</v>
      </c>
      <c r="AL85" s="48" t="str">
        <f t="shared" ref="AL85:AN85" si="412">IF($Y85=AL$3,"M","")</f>
        <v>#ERROR!</v>
      </c>
      <c r="AM85" s="49" t="str">
        <f t="shared" si="412"/>
        <v>#ERROR!</v>
      </c>
      <c r="AN85" s="50" t="str">
        <f t="shared" si="412"/>
        <v>#ERROR!</v>
      </c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5" t="s">
        <v>26</v>
      </c>
      <c r="T86" s="26" t="s">
        <v>168</v>
      </c>
      <c r="U86" s="27" t="str">
        <f>VLOOKUP(T86,X4:Y136,2,FALSE)</f>
        <v>#ERROR!</v>
      </c>
      <c r="V86" s="13"/>
      <c r="W86" s="25" t="s">
        <v>26</v>
      </c>
      <c r="X86" s="26" t="s">
        <v>167</v>
      </c>
      <c r="Y86" s="27" t="str">
        <f>VLOOKUP(X86,[1]!Magic_Energies,2,FALSE)</f>
        <v>#ERROR!</v>
      </c>
      <c r="Z86" s="48" t="str">
        <f t="shared" ref="Z86:AB86" si="413">IF($Y86=Z$3,"S","")</f>
        <v>#ERROR!</v>
      </c>
      <c r="AA86" s="49" t="str">
        <f t="shared" si="413"/>
        <v>#ERROR!</v>
      </c>
      <c r="AB86" s="50" t="str">
        <f t="shared" si="413"/>
        <v>#ERROR!</v>
      </c>
      <c r="AC86" s="48" t="str">
        <f t="shared" ref="AC86:AE86" si="414">IF($Y86=AC$3,"B","")</f>
        <v>#ERROR!</v>
      </c>
      <c r="AD86" s="49" t="str">
        <f t="shared" si="414"/>
        <v>#ERROR!</v>
      </c>
      <c r="AE86" s="50" t="str">
        <f t="shared" si="414"/>
        <v>#ERROR!</v>
      </c>
      <c r="AF86" s="48" t="str">
        <f t="shared" ref="AF86:AH86" si="415">IF($Y86=AF$3,"I","")</f>
        <v>#ERROR!</v>
      </c>
      <c r="AG86" s="49" t="str">
        <f t="shared" si="415"/>
        <v>#ERROR!</v>
      </c>
      <c r="AH86" s="50" t="str">
        <f t="shared" si="415"/>
        <v>#ERROR!</v>
      </c>
      <c r="AI86" s="48" t="str">
        <f t="shared" ref="AI86:AK86" si="416">IF($Y86=AI$3,"A","")</f>
        <v>#ERROR!</v>
      </c>
      <c r="AJ86" s="49" t="str">
        <f t="shared" si="416"/>
        <v>#ERROR!</v>
      </c>
      <c r="AK86" s="50" t="str">
        <f t="shared" si="416"/>
        <v>#ERROR!</v>
      </c>
      <c r="AL86" s="48" t="str">
        <f t="shared" ref="AL86:AN86" si="417">IF($Y86=AL$3,"M","")</f>
        <v>#ERROR!</v>
      </c>
      <c r="AM86" s="49" t="str">
        <f t="shared" si="417"/>
        <v>#ERROR!</v>
      </c>
      <c r="AN86" s="50" t="str">
        <f t="shared" si="417"/>
        <v>#ERROR!</v>
      </c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5" t="s">
        <v>26</v>
      </c>
      <c r="T87" s="26" t="s">
        <v>202</v>
      </c>
      <c r="U87" s="27" t="str">
        <f>VLOOKUP(T87,X4:Y136,2,FALSE)</f>
        <v>#ERROR!</v>
      </c>
      <c r="V87" s="13"/>
      <c r="W87" s="25" t="s">
        <v>26</v>
      </c>
      <c r="X87" s="26" t="s">
        <v>174</v>
      </c>
      <c r="Y87" s="27" t="str">
        <f>VLOOKUP(X87,[1]!Magic_Energies,2,FALSE)</f>
        <v>#ERROR!</v>
      </c>
      <c r="Z87" s="48" t="str">
        <f t="shared" ref="Z87:AB87" si="418">IF($Y87=Z$3,"S","")</f>
        <v>#ERROR!</v>
      </c>
      <c r="AA87" s="49" t="str">
        <f t="shared" si="418"/>
        <v>#ERROR!</v>
      </c>
      <c r="AB87" s="50" t="str">
        <f t="shared" si="418"/>
        <v>#ERROR!</v>
      </c>
      <c r="AC87" s="48" t="str">
        <f t="shared" ref="AC87:AE87" si="419">IF($Y87=AC$3,"B","")</f>
        <v>#ERROR!</v>
      </c>
      <c r="AD87" s="49" t="str">
        <f t="shared" si="419"/>
        <v>#ERROR!</v>
      </c>
      <c r="AE87" s="50" t="str">
        <f t="shared" si="419"/>
        <v>#ERROR!</v>
      </c>
      <c r="AF87" s="48" t="str">
        <f t="shared" ref="AF87:AH87" si="420">IF($Y87=AF$3,"I","")</f>
        <v>#ERROR!</v>
      </c>
      <c r="AG87" s="49" t="str">
        <f t="shared" si="420"/>
        <v>#ERROR!</v>
      </c>
      <c r="AH87" s="50" t="str">
        <f t="shared" si="420"/>
        <v>#ERROR!</v>
      </c>
      <c r="AI87" s="48" t="str">
        <f t="shared" ref="AI87:AK87" si="421">IF($Y87=AI$3,"A","")</f>
        <v>#ERROR!</v>
      </c>
      <c r="AJ87" s="49" t="str">
        <f t="shared" si="421"/>
        <v>#ERROR!</v>
      </c>
      <c r="AK87" s="50" t="str">
        <f t="shared" si="421"/>
        <v>#ERROR!</v>
      </c>
      <c r="AL87" s="48" t="str">
        <f t="shared" ref="AL87:AN87" si="422">IF($Y87=AL$3,"M","")</f>
        <v>#ERROR!</v>
      </c>
      <c r="AM87" s="49" t="str">
        <f t="shared" si="422"/>
        <v>#ERROR!</v>
      </c>
      <c r="AN87" s="50" t="str">
        <f t="shared" si="422"/>
        <v>#ERROR!</v>
      </c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5" t="s">
        <v>26</v>
      </c>
      <c r="T88" s="26" t="s">
        <v>203</v>
      </c>
      <c r="U88" s="27" t="str">
        <f>VLOOKUP(T88,X4:Y136,2,FALSE)</f>
        <v>#ERROR!</v>
      </c>
      <c r="V88" s="13"/>
      <c r="W88" s="25" t="s">
        <v>26</v>
      </c>
      <c r="X88" s="26" t="s">
        <v>186</v>
      </c>
      <c r="Y88" s="27" t="str">
        <f>VLOOKUP(X88,[1]!Magic_Energies,2,FALSE)</f>
        <v>#ERROR!</v>
      </c>
      <c r="Z88" s="48" t="str">
        <f t="shared" ref="Z88:AB88" si="423">IF($Y88=Z$3,"S","")</f>
        <v>#ERROR!</v>
      </c>
      <c r="AA88" s="49" t="str">
        <f t="shared" si="423"/>
        <v>#ERROR!</v>
      </c>
      <c r="AB88" s="50" t="str">
        <f t="shared" si="423"/>
        <v>#ERROR!</v>
      </c>
      <c r="AC88" s="48" t="str">
        <f t="shared" ref="AC88:AE88" si="424">IF($Y88=AC$3,"B","")</f>
        <v>#ERROR!</v>
      </c>
      <c r="AD88" s="49" t="str">
        <f t="shared" si="424"/>
        <v>#ERROR!</v>
      </c>
      <c r="AE88" s="50" t="str">
        <f t="shared" si="424"/>
        <v>#ERROR!</v>
      </c>
      <c r="AF88" s="48" t="str">
        <f t="shared" ref="AF88:AH88" si="425">IF($Y88=AF$3,"I","")</f>
        <v>#ERROR!</v>
      </c>
      <c r="AG88" s="49" t="str">
        <f t="shared" si="425"/>
        <v>#ERROR!</v>
      </c>
      <c r="AH88" s="50" t="str">
        <f t="shared" si="425"/>
        <v>#ERROR!</v>
      </c>
      <c r="AI88" s="48" t="str">
        <f t="shared" ref="AI88:AK88" si="426">IF($Y88=AI$3,"A","")</f>
        <v>#ERROR!</v>
      </c>
      <c r="AJ88" s="49" t="str">
        <f t="shared" si="426"/>
        <v>#ERROR!</v>
      </c>
      <c r="AK88" s="50" t="str">
        <f t="shared" si="426"/>
        <v>#ERROR!</v>
      </c>
      <c r="AL88" s="48" t="str">
        <f t="shared" ref="AL88:AN88" si="427">IF($Y88=AL$3,"M","")</f>
        <v>#ERROR!</v>
      </c>
      <c r="AM88" s="49" t="str">
        <f t="shared" si="427"/>
        <v>#ERROR!</v>
      </c>
      <c r="AN88" s="50" t="str">
        <f t="shared" si="427"/>
        <v>#ERROR!</v>
      </c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25" t="s">
        <v>18</v>
      </c>
      <c r="T89" s="26" t="s">
        <v>104</v>
      </c>
      <c r="U89" s="27" t="str">
        <f>VLOOKUP(T89,X4:Y136,2,FALSE)</f>
        <v>#ERROR!</v>
      </c>
      <c r="V89" s="13"/>
      <c r="W89" s="25" t="s">
        <v>26</v>
      </c>
      <c r="X89" s="26" t="s">
        <v>202</v>
      </c>
      <c r="Y89" s="27" t="str">
        <f>VLOOKUP(X89,[1]!Magic_Energies,2,FALSE)</f>
        <v>#ERROR!</v>
      </c>
      <c r="Z89" s="48" t="str">
        <f t="shared" ref="Z89:AB89" si="428">IF($Y89=Z$3,"S","")</f>
        <v>#ERROR!</v>
      </c>
      <c r="AA89" s="49" t="str">
        <f t="shared" si="428"/>
        <v>#ERROR!</v>
      </c>
      <c r="AB89" s="50" t="str">
        <f t="shared" si="428"/>
        <v>#ERROR!</v>
      </c>
      <c r="AC89" s="48" t="str">
        <f t="shared" ref="AC89:AE89" si="429">IF($Y89=AC$3,"B","")</f>
        <v>#ERROR!</v>
      </c>
      <c r="AD89" s="49" t="str">
        <f t="shared" si="429"/>
        <v>#ERROR!</v>
      </c>
      <c r="AE89" s="50" t="str">
        <f t="shared" si="429"/>
        <v>#ERROR!</v>
      </c>
      <c r="AF89" s="48" t="str">
        <f t="shared" ref="AF89:AH89" si="430">IF($Y89=AF$3,"I","")</f>
        <v>#ERROR!</v>
      </c>
      <c r="AG89" s="49" t="str">
        <f t="shared" si="430"/>
        <v>#ERROR!</v>
      </c>
      <c r="AH89" s="50" t="str">
        <f t="shared" si="430"/>
        <v>#ERROR!</v>
      </c>
      <c r="AI89" s="48" t="str">
        <f t="shared" ref="AI89:AK89" si="431">IF($Y89=AI$3,"A","")</f>
        <v>#ERROR!</v>
      </c>
      <c r="AJ89" s="49" t="str">
        <f t="shared" si="431"/>
        <v>#ERROR!</v>
      </c>
      <c r="AK89" s="50" t="str">
        <f t="shared" si="431"/>
        <v>#ERROR!</v>
      </c>
      <c r="AL89" s="48" t="str">
        <f t="shared" ref="AL89:AN89" si="432">IF($Y89=AL$3,"M","")</f>
        <v>#ERROR!</v>
      </c>
      <c r="AM89" s="49" t="str">
        <f t="shared" si="432"/>
        <v>#ERROR!</v>
      </c>
      <c r="AN89" s="50" t="str">
        <f t="shared" si="432"/>
        <v>#ERROR!</v>
      </c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5" t="s">
        <v>52</v>
      </c>
      <c r="T90" s="26" t="s">
        <v>204</v>
      </c>
      <c r="U90" s="27" t="str">
        <f>VLOOKUP(T90,X4:Y136,2,FALSE)</f>
        <v>#ERROR!</v>
      </c>
      <c r="V90" s="13"/>
      <c r="W90" s="25" t="s">
        <v>26</v>
      </c>
      <c r="X90" s="26" t="s">
        <v>205</v>
      </c>
      <c r="Y90" s="27" t="str">
        <f>VLOOKUP(X90,[1]!Magic_Energies,2,FALSE)</f>
        <v>#ERROR!</v>
      </c>
      <c r="Z90" s="48" t="str">
        <f t="shared" ref="Z90:AB90" si="433">IF($Y90=Z$3,"S","")</f>
        <v>#ERROR!</v>
      </c>
      <c r="AA90" s="49" t="str">
        <f t="shared" si="433"/>
        <v>#ERROR!</v>
      </c>
      <c r="AB90" s="50" t="str">
        <f t="shared" si="433"/>
        <v>#ERROR!</v>
      </c>
      <c r="AC90" s="48" t="str">
        <f t="shared" ref="AC90:AE90" si="434">IF($Y90=AC$3,"B","")</f>
        <v>#ERROR!</v>
      </c>
      <c r="AD90" s="49" t="str">
        <f t="shared" si="434"/>
        <v>#ERROR!</v>
      </c>
      <c r="AE90" s="50" t="str">
        <f t="shared" si="434"/>
        <v>#ERROR!</v>
      </c>
      <c r="AF90" s="48" t="str">
        <f t="shared" ref="AF90:AH90" si="435">IF($Y90=AF$3,"I","")</f>
        <v>#ERROR!</v>
      </c>
      <c r="AG90" s="49" t="str">
        <f t="shared" si="435"/>
        <v>#ERROR!</v>
      </c>
      <c r="AH90" s="50" t="str">
        <f t="shared" si="435"/>
        <v>#ERROR!</v>
      </c>
      <c r="AI90" s="48" t="str">
        <f t="shared" ref="AI90:AK90" si="436">IF($Y90=AI$3,"A","")</f>
        <v>#ERROR!</v>
      </c>
      <c r="AJ90" s="49" t="str">
        <f t="shared" si="436"/>
        <v>#ERROR!</v>
      </c>
      <c r="AK90" s="50" t="str">
        <f t="shared" si="436"/>
        <v>#ERROR!</v>
      </c>
      <c r="AL90" s="48" t="str">
        <f t="shared" ref="AL90:AN90" si="437">IF($Y90=AL$3,"M","")</f>
        <v>#ERROR!</v>
      </c>
      <c r="AM90" s="49" t="str">
        <f t="shared" si="437"/>
        <v>#ERROR!</v>
      </c>
      <c r="AN90" s="50" t="str">
        <f t="shared" si="437"/>
        <v>#ERROR!</v>
      </c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5" t="s">
        <v>18</v>
      </c>
      <c r="T91" s="26" t="s">
        <v>106</v>
      </c>
      <c r="U91" s="27" t="str">
        <f>VLOOKUP(T91,X4:Y136,2,FALSE)</f>
        <v>#ERROR!</v>
      </c>
      <c r="V91" s="13"/>
      <c r="W91" s="25" t="s">
        <v>26</v>
      </c>
      <c r="X91" s="26" t="s">
        <v>206</v>
      </c>
      <c r="Y91" s="27" t="str">
        <f>VLOOKUP(X91,[1]!Magic_Energies,2,FALSE)</f>
        <v>#ERROR!</v>
      </c>
      <c r="Z91" s="48" t="str">
        <f t="shared" ref="Z91:AB91" si="438">IF($Y91=Z$3,"S","")</f>
        <v>#ERROR!</v>
      </c>
      <c r="AA91" s="49" t="str">
        <f t="shared" si="438"/>
        <v>#ERROR!</v>
      </c>
      <c r="AB91" s="50" t="str">
        <f t="shared" si="438"/>
        <v>#ERROR!</v>
      </c>
      <c r="AC91" s="48" t="str">
        <f t="shared" ref="AC91:AE91" si="439">IF($Y91=AC$3,"B","")</f>
        <v>#ERROR!</v>
      </c>
      <c r="AD91" s="49" t="str">
        <f t="shared" si="439"/>
        <v>#ERROR!</v>
      </c>
      <c r="AE91" s="50" t="str">
        <f t="shared" si="439"/>
        <v>#ERROR!</v>
      </c>
      <c r="AF91" s="48" t="str">
        <f t="shared" ref="AF91:AH91" si="440">IF($Y91=AF$3,"I","")</f>
        <v>#ERROR!</v>
      </c>
      <c r="AG91" s="49" t="str">
        <f t="shared" si="440"/>
        <v>#ERROR!</v>
      </c>
      <c r="AH91" s="50" t="str">
        <f t="shared" si="440"/>
        <v>#ERROR!</v>
      </c>
      <c r="AI91" s="48" t="str">
        <f t="shared" ref="AI91:AK91" si="441">IF($Y91=AI$3,"A","")</f>
        <v>#ERROR!</v>
      </c>
      <c r="AJ91" s="49" t="str">
        <f t="shared" si="441"/>
        <v>#ERROR!</v>
      </c>
      <c r="AK91" s="50" t="str">
        <f t="shared" si="441"/>
        <v>#ERROR!</v>
      </c>
      <c r="AL91" s="48" t="str">
        <f t="shared" ref="AL91:AN91" si="442">IF($Y91=AL$3,"M","")</f>
        <v>#ERROR!</v>
      </c>
      <c r="AM91" s="49" t="str">
        <f t="shared" si="442"/>
        <v>#ERROR!</v>
      </c>
      <c r="AN91" s="50" t="str">
        <f t="shared" si="442"/>
        <v>#ERROR!</v>
      </c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5" t="s">
        <v>26</v>
      </c>
      <c r="T92" s="26" t="s">
        <v>135</v>
      </c>
      <c r="U92" s="27" t="str">
        <f>VLOOKUP(T92,X4:Y136,2,FALSE)</f>
        <v>#ERROR!</v>
      </c>
      <c r="V92" s="13"/>
      <c r="W92" s="25" t="s">
        <v>26</v>
      </c>
      <c r="X92" s="26" t="s">
        <v>119</v>
      </c>
      <c r="Y92" s="27" t="str">
        <f>VLOOKUP(X92,[1]!Magic_Energies,2,FALSE)</f>
        <v>#ERROR!</v>
      </c>
      <c r="Z92" s="48" t="str">
        <f t="shared" ref="Z92:AB92" si="443">IF($Y92=Z$3,"S","")</f>
        <v>#ERROR!</v>
      </c>
      <c r="AA92" s="49" t="str">
        <f t="shared" si="443"/>
        <v>#ERROR!</v>
      </c>
      <c r="AB92" s="50" t="str">
        <f t="shared" si="443"/>
        <v>#ERROR!</v>
      </c>
      <c r="AC92" s="48" t="str">
        <f t="shared" ref="AC92:AE92" si="444">IF($Y92=AC$3,"B","")</f>
        <v>#ERROR!</v>
      </c>
      <c r="AD92" s="49" t="str">
        <f t="shared" si="444"/>
        <v>#ERROR!</v>
      </c>
      <c r="AE92" s="50" t="str">
        <f t="shared" si="444"/>
        <v>#ERROR!</v>
      </c>
      <c r="AF92" s="48" t="str">
        <f t="shared" ref="AF92:AH92" si="445">IF($Y92=AF$3,"I","")</f>
        <v>#ERROR!</v>
      </c>
      <c r="AG92" s="49" t="str">
        <f t="shared" si="445"/>
        <v>#ERROR!</v>
      </c>
      <c r="AH92" s="50" t="str">
        <f t="shared" si="445"/>
        <v>#ERROR!</v>
      </c>
      <c r="AI92" s="48" t="str">
        <f t="shared" ref="AI92:AK92" si="446">IF($Y92=AI$3,"A","")</f>
        <v>#ERROR!</v>
      </c>
      <c r="AJ92" s="49" t="str">
        <f t="shared" si="446"/>
        <v>#ERROR!</v>
      </c>
      <c r="AK92" s="50" t="str">
        <f t="shared" si="446"/>
        <v>#ERROR!</v>
      </c>
      <c r="AL92" s="48" t="str">
        <f t="shared" ref="AL92:AN92" si="447">IF($Y92=AL$3,"M","")</f>
        <v>#ERROR!</v>
      </c>
      <c r="AM92" s="49" t="str">
        <f t="shared" si="447"/>
        <v>#ERROR!</v>
      </c>
      <c r="AN92" s="50" t="str">
        <f t="shared" si="447"/>
        <v>#ERROR!</v>
      </c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25" t="s">
        <v>26</v>
      </c>
      <c r="T93" s="26" t="s">
        <v>189</v>
      </c>
      <c r="U93" s="27" t="str">
        <f>VLOOKUP(T93,X4:Y136,2,FALSE)</f>
        <v>#ERROR!</v>
      </c>
      <c r="V93" s="13"/>
      <c r="W93" s="25" t="s">
        <v>26</v>
      </c>
      <c r="X93" s="26" t="s">
        <v>137</v>
      </c>
      <c r="Y93" s="27" t="str">
        <f>VLOOKUP(X93,[1]!Magic_Energies,2,FALSE)</f>
        <v>#ERROR!</v>
      </c>
      <c r="Z93" s="48" t="str">
        <f t="shared" ref="Z93:AB93" si="448">IF($Y93=Z$3,"S","")</f>
        <v>#ERROR!</v>
      </c>
      <c r="AA93" s="49" t="str">
        <f t="shared" si="448"/>
        <v>#ERROR!</v>
      </c>
      <c r="AB93" s="50" t="str">
        <f t="shared" si="448"/>
        <v>#ERROR!</v>
      </c>
      <c r="AC93" s="48" t="str">
        <f t="shared" ref="AC93:AE93" si="449">IF($Y93=AC$3,"B","")</f>
        <v>#ERROR!</v>
      </c>
      <c r="AD93" s="49" t="str">
        <f t="shared" si="449"/>
        <v>#ERROR!</v>
      </c>
      <c r="AE93" s="50" t="str">
        <f t="shared" si="449"/>
        <v>#ERROR!</v>
      </c>
      <c r="AF93" s="48" t="str">
        <f t="shared" ref="AF93:AH93" si="450">IF($Y93=AF$3,"I","")</f>
        <v>#ERROR!</v>
      </c>
      <c r="AG93" s="49" t="str">
        <f t="shared" si="450"/>
        <v>#ERROR!</v>
      </c>
      <c r="AH93" s="50" t="str">
        <f t="shared" si="450"/>
        <v>#ERROR!</v>
      </c>
      <c r="AI93" s="48" t="str">
        <f t="shared" ref="AI93:AK93" si="451">IF($Y93=AI$3,"A","")</f>
        <v>#ERROR!</v>
      </c>
      <c r="AJ93" s="49" t="str">
        <f t="shared" si="451"/>
        <v>#ERROR!</v>
      </c>
      <c r="AK93" s="50" t="str">
        <f t="shared" si="451"/>
        <v>#ERROR!</v>
      </c>
      <c r="AL93" s="48" t="str">
        <f t="shared" ref="AL93:AN93" si="452">IF($Y93=AL$3,"M","")</f>
        <v>#ERROR!</v>
      </c>
      <c r="AM93" s="49" t="str">
        <f t="shared" si="452"/>
        <v>#ERROR!</v>
      </c>
      <c r="AN93" s="50" t="str">
        <f t="shared" si="452"/>
        <v>#ERROR!</v>
      </c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5" t="s">
        <v>26</v>
      </c>
      <c r="T94" s="26" t="s">
        <v>207</v>
      </c>
      <c r="U94" s="27" t="str">
        <f>VLOOKUP(T94,X4:Y136,2,FALSE)</f>
        <v>#ERROR!</v>
      </c>
      <c r="V94" s="13"/>
      <c r="W94" s="25" t="s">
        <v>26</v>
      </c>
      <c r="X94" s="26" t="s">
        <v>162</v>
      </c>
      <c r="Y94" s="27" t="str">
        <f>VLOOKUP(X94,[1]!Magic_Energies,2,FALSE)</f>
        <v>#ERROR!</v>
      </c>
      <c r="Z94" s="48" t="str">
        <f t="shared" ref="Z94:AB94" si="453">IF($Y94=Z$3,"S","")</f>
        <v>#ERROR!</v>
      </c>
      <c r="AA94" s="49" t="str">
        <f t="shared" si="453"/>
        <v>#ERROR!</v>
      </c>
      <c r="AB94" s="50" t="str">
        <f t="shared" si="453"/>
        <v>#ERROR!</v>
      </c>
      <c r="AC94" s="48" t="str">
        <f t="shared" ref="AC94:AE94" si="454">IF($Y94=AC$3,"B","")</f>
        <v>#ERROR!</v>
      </c>
      <c r="AD94" s="49" t="str">
        <f t="shared" si="454"/>
        <v>#ERROR!</v>
      </c>
      <c r="AE94" s="50" t="str">
        <f t="shared" si="454"/>
        <v>#ERROR!</v>
      </c>
      <c r="AF94" s="48" t="str">
        <f t="shared" ref="AF94:AH94" si="455">IF($Y94=AF$3,"I","")</f>
        <v>#ERROR!</v>
      </c>
      <c r="AG94" s="49" t="str">
        <f t="shared" si="455"/>
        <v>#ERROR!</v>
      </c>
      <c r="AH94" s="50" t="str">
        <f t="shared" si="455"/>
        <v>#ERROR!</v>
      </c>
      <c r="AI94" s="48" t="str">
        <f t="shared" ref="AI94:AK94" si="456">IF($Y94=AI$3,"A","")</f>
        <v>#ERROR!</v>
      </c>
      <c r="AJ94" s="49" t="str">
        <f t="shared" si="456"/>
        <v>#ERROR!</v>
      </c>
      <c r="AK94" s="50" t="str">
        <f t="shared" si="456"/>
        <v>#ERROR!</v>
      </c>
      <c r="AL94" s="48" t="str">
        <f t="shared" ref="AL94:AN94" si="457">IF($Y94=AL$3,"M","")</f>
        <v>#ERROR!</v>
      </c>
      <c r="AM94" s="49" t="str">
        <f t="shared" si="457"/>
        <v>#ERROR!</v>
      </c>
      <c r="AN94" s="50" t="str">
        <f t="shared" si="457"/>
        <v>#ERROR!</v>
      </c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25" t="s">
        <v>26</v>
      </c>
      <c r="T95" s="26" t="s">
        <v>108</v>
      </c>
      <c r="U95" s="27" t="str">
        <f>VLOOKUP(T95,X4:Y136,2,FALSE)</f>
        <v>#ERROR!</v>
      </c>
      <c r="V95" s="13"/>
      <c r="W95" s="25" t="s">
        <v>26</v>
      </c>
      <c r="X95" s="26" t="s">
        <v>178</v>
      </c>
      <c r="Y95" s="27" t="str">
        <f>VLOOKUP(X95,[1]!Magic_Energies,2,FALSE)</f>
        <v>#ERROR!</v>
      </c>
      <c r="Z95" s="48" t="str">
        <f t="shared" ref="Z95:AB95" si="458">IF($Y95=Z$3,"S","")</f>
        <v>#ERROR!</v>
      </c>
      <c r="AA95" s="49" t="str">
        <f t="shared" si="458"/>
        <v>#ERROR!</v>
      </c>
      <c r="AB95" s="50" t="str">
        <f t="shared" si="458"/>
        <v>#ERROR!</v>
      </c>
      <c r="AC95" s="48" t="str">
        <f t="shared" ref="AC95:AE95" si="459">IF($Y95=AC$3,"B","")</f>
        <v>#ERROR!</v>
      </c>
      <c r="AD95" s="49" t="str">
        <f t="shared" si="459"/>
        <v>#ERROR!</v>
      </c>
      <c r="AE95" s="50" t="str">
        <f t="shared" si="459"/>
        <v>#ERROR!</v>
      </c>
      <c r="AF95" s="48" t="str">
        <f t="shared" ref="AF95:AH95" si="460">IF($Y95=AF$3,"I","")</f>
        <v>#ERROR!</v>
      </c>
      <c r="AG95" s="49" t="str">
        <f t="shared" si="460"/>
        <v>#ERROR!</v>
      </c>
      <c r="AH95" s="50" t="str">
        <f t="shared" si="460"/>
        <v>#ERROR!</v>
      </c>
      <c r="AI95" s="48" t="str">
        <f t="shared" ref="AI95:AK95" si="461">IF($Y95=AI$3,"A","")</f>
        <v>#ERROR!</v>
      </c>
      <c r="AJ95" s="49" t="str">
        <f t="shared" si="461"/>
        <v>#ERROR!</v>
      </c>
      <c r="AK95" s="50" t="str">
        <f t="shared" si="461"/>
        <v>#ERROR!</v>
      </c>
      <c r="AL95" s="48" t="str">
        <f t="shared" ref="AL95:AN95" si="462">IF($Y95=AL$3,"M","")</f>
        <v>#ERROR!</v>
      </c>
      <c r="AM95" s="49" t="str">
        <f t="shared" si="462"/>
        <v>#ERROR!</v>
      </c>
      <c r="AN95" s="50" t="str">
        <f t="shared" si="462"/>
        <v>#ERROR!</v>
      </c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5" t="s">
        <v>26</v>
      </c>
      <c r="T96" s="26" t="s">
        <v>190</v>
      </c>
      <c r="U96" s="27" t="str">
        <f>VLOOKUP(T96,X4:Y136,2,FALSE)</f>
        <v>#ERROR!</v>
      </c>
      <c r="V96" s="13"/>
      <c r="W96" s="25" t="s">
        <v>26</v>
      </c>
      <c r="X96" s="26" t="s">
        <v>193</v>
      </c>
      <c r="Y96" s="27" t="str">
        <f>VLOOKUP(X96,[1]!Magic_Energies,2,FALSE)</f>
        <v>#ERROR!</v>
      </c>
      <c r="Z96" s="48" t="str">
        <f t="shared" ref="Z96:AB96" si="463">IF($Y96=Z$3,"S","")</f>
        <v>#ERROR!</v>
      </c>
      <c r="AA96" s="49" t="str">
        <f t="shared" si="463"/>
        <v>#ERROR!</v>
      </c>
      <c r="AB96" s="50" t="str">
        <f t="shared" si="463"/>
        <v>#ERROR!</v>
      </c>
      <c r="AC96" s="48" t="str">
        <f t="shared" ref="AC96:AE96" si="464">IF($Y96=AC$3,"B","")</f>
        <v>#ERROR!</v>
      </c>
      <c r="AD96" s="49" t="str">
        <f t="shared" si="464"/>
        <v>#ERROR!</v>
      </c>
      <c r="AE96" s="50" t="str">
        <f t="shared" si="464"/>
        <v>#ERROR!</v>
      </c>
      <c r="AF96" s="48" t="str">
        <f t="shared" ref="AF96:AH96" si="465">IF($Y96=AF$3,"I","")</f>
        <v>#ERROR!</v>
      </c>
      <c r="AG96" s="49" t="str">
        <f t="shared" si="465"/>
        <v>#ERROR!</v>
      </c>
      <c r="AH96" s="50" t="str">
        <f t="shared" si="465"/>
        <v>#ERROR!</v>
      </c>
      <c r="AI96" s="48" t="str">
        <f t="shared" ref="AI96:AK96" si="466">IF($Y96=AI$3,"A","")</f>
        <v>#ERROR!</v>
      </c>
      <c r="AJ96" s="49" t="str">
        <f t="shared" si="466"/>
        <v>#ERROR!</v>
      </c>
      <c r="AK96" s="50" t="str">
        <f t="shared" si="466"/>
        <v>#ERROR!</v>
      </c>
      <c r="AL96" s="48" t="str">
        <f t="shared" ref="AL96:AN96" si="467">IF($Y96=AL$3,"M","")</f>
        <v>#ERROR!</v>
      </c>
      <c r="AM96" s="49" t="str">
        <f t="shared" si="467"/>
        <v>#ERROR!</v>
      </c>
      <c r="AN96" s="50" t="str">
        <f t="shared" si="467"/>
        <v>#ERROR!</v>
      </c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25" t="s">
        <v>26</v>
      </c>
      <c r="T97" s="26" t="s">
        <v>208</v>
      </c>
      <c r="U97" s="27" t="str">
        <f>VLOOKUP(T97,X4:Y136,2,FALSE)</f>
        <v>#ERROR!</v>
      </c>
      <c r="V97" s="13"/>
      <c r="W97" s="25" t="s">
        <v>26</v>
      </c>
      <c r="X97" s="26" t="s">
        <v>200</v>
      </c>
      <c r="Y97" s="27" t="str">
        <f>VLOOKUP(X97,[1]!Magic_Energies,2,FALSE)</f>
        <v>#ERROR!</v>
      </c>
      <c r="Z97" s="48" t="str">
        <f t="shared" ref="Z97:AB97" si="468">IF($Y97=Z$3,"S","")</f>
        <v>#ERROR!</v>
      </c>
      <c r="AA97" s="49" t="str">
        <f t="shared" si="468"/>
        <v>#ERROR!</v>
      </c>
      <c r="AB97" s="50" t="str">
        <f t="shared" si="468"/>
        <v>#ERROR!</v>
      </c>
      <c r="AC97" s="48" t="str">
        <f t="shared" ref="AC97:AE97" si="469">IF($Y97=AC$3,"B","")</f>
        <v>#ERROR!</v>
      </c>
      <c r="AD97" s="49" t="str">
        <f t="shared" si="469"/>
        <v>#ERROR!</v>
      </c>
      <c r="AE97" s="50" t="str">
        <f t="shared" si="469"/>
        <v>#ERROR!</v>
      </c>
      <c r="AF97" s="48" t="str">
        <f t="shared" ref="AF97:AH97" si="470">IF($Y97=AF$3,"I","")</f>
        <v>#ERROR!</v>
      </c>
      <c r="AG97" s="49" t="str">
        <f t="shared" si="470"/>
        <v>#ERROR!</v>
      </c>
      <c r="AH97" s="50" t="str">
        <f t="shared" si="470"/>
        <v>#ERROR!</v>
      </c>
      <c r="AI97" s="48" t="str">
        <f t="shared" ref="AI97:AK97" si="471">IF($Y97=AI$3,"A","")</f>
        <v>#ERROR!</v>
      </c>
      <c r="AJ97" s="49" t="str">
        <f t="shared" si="471"/>
        <v>#ERROR!</v>
      </c>
      <c r="AK97" s="50" t="str">
        <f t="shared" si="471"/>
        <v>#ERROR!</v>
      </c>
      <c r="AL97" s="48" t="str">
        <f t="shared" ref="AL97:AN97" si="472">IF($Y97=AL$3,"M","")</f>
        <v>#ERROR!</v>
      </c>
      <c r="AM97" s="49" t="str">
        <f t="shared" si="472"/>
        <v>#ERROR!</v>
      </c>
      <c r="AN97" s="50" t="str">
        <f t="shared" si="472"/>
        <v>#ERROR!</v>
      </c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5" t="s">
        <v>26</v>
      </c>
      <c r="T98" s="26" t="s">
        <v>82</v>
      </c>
      <c r="U98" s="27" t="str">
        <f>VLOOKUP(T98,X4:Y136,2,FALSE)</f>
        <v>#ERROR!</v>
      </c>
      <c r="V98" s="13"/>
      <c r="W98" s="25" t="s">
        <v>26</v>
      </c>
      <c r="X98" s="26" t="s">
        <v>209</v>
      </c>
      <c r="Y98" s="27" t="str">
        <f>VLOOKUP(X98,[1]!Magic_Energies,2,FALSE)</f>
        <v>#ERROR!</v>
      </c>
      <c r="Z98" s="48" t="str">
        <f t="shared" ref="Z98:AB98" si="473">IF($Y98=Z$3,"S","")</f>
        <v>#ERROR!</v>
      </c>
      <c r="AA98" s="49" t="str">
        <f t="shared" si="473"/>
        <v>#ERROR!</v>
      </c>
      <c r="AB98" s="50" t="str">
        <f t="shared" si="473"/>
        <v>#ERROR!</v>
      </c>
      <c r="AC98" s="48" t="str">
        <f t="shared" ref="AC98:AE98" si="474">IF($Y98=AC$3,"B","")</f>
        <v>#ERROR!</v>
      </c>
      <c r="AD98" s="49" t="str">
        <f t="shared" si="474"/>
        <v>#ERROR!</v>
      </c>
      <c r="AE98" s="50" t="str">
        <f t="shared" si="474"/>
        <v>#ERROR!</v>
      </c>
      <c r="AF98" s="48" t="str">
        <f t="shared" ref="AF98:AH98" si="475">IF($Y98=AF$3,"I","")</f>
        <v>#ERROR!</v>
      </c>
      <c r="AG98" s="49" t="str">
        <f t="shared" si="475"/>
        <v>#ERROR!</v>
      </c>
      <c r="AH98" s="50" t="str">
        <f t="shared" si="475"/>
        <v>#ERROR!</v>
      </c>
      <c r="AI98" s="48" t="str">
        <f t="shared" ref="AI98:AK98" si="476">IF($Y98=AI$3,"A","")</f>
        <v>#ERROR!</v>
      </c>
      <c r="AJ98" s="49" t="str">
        <f t="shared" si="476"/>
        <v>#ERROR!</v>
      </c>
      <c r="AK98" s="50" t="str">
        <f t="shared" si="476"/>
        <v>#ERROR!</v>
      </c>
      <c r="AL98" s="48" t="str">
        <f t="shared" ref="AL98:AN98" si="477">IF($Y98=AL$3,"M","")</f>
        <v>#ERROR!</v>
      </c>
      <c r="AM98" s="49" t="str">
        <f t="shared" si="477"/>
        <v>#ERROR!</v>
      </c>
      <c r="AN98" s="50" t="str">
        <f t="shared" si="477"/>
        <v>#ERROR!</v>
      </c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5" t="s">
        <v>26</v>
      </c>
      <c r="T99" s="26" t="s">
        <v>170</v>
      </c>
      <c r="U99" s="27" t="str">
        <f>VLOOKUP(T99,X4:Y136,2,FALSE)</f>
        <v>#ERROR!</v>
      </c>
      <c r="V99" s="13"/>
      <c r="W99" s="25" t="s">
        <v>26</v>
      </c>
      <c r="X99" s="26" t="s">
        <v>210</v>
      </c>
      <c r="Y99" s="27" t="str">
        <f>VLOOKUP(X99,[1]!Magic_Energies,2,FALSE)</f>
        <v>#ERROR!</v>
      </c>
      <c r="Z99" s="48" t="str">
        <f t="shared" ref="Z99:AB99" si="478">IF($Y99=Z$3,"S","")</f>
        <v>#ERROR!</v>
      </c>
      <c r="AA99" s="49" t="str">
        <f t="shared" si="478"/>
        <v>#ERROR!</v>
      </c>
      <c r="AB99" s="50" t="str">
        <f t="shared" si="478"/>
        <v>#ERROR!</v>
      </c>
      <c r="AC99" s="48" t="str">
        <f t="shared" ref="AC99:AE99" si="479">IF($Y99=AC$3,"B","")</f>
        <v>#ERROR!</v>
      </c>
      <c r="AD99" s="49" t="str">
        <f t="shared" si="479"/>
        <v>#ERROR!</v>
      </c>
      <c r="AE99" s="50" t="str">
        <f t="shared" si="479"/>
        <v>#ERROR!</v>
      </c>
      <c r="AF99" s="48" t="str">
        <f t="shared" ref="AF99:AH99" si="480">IF($Y99=AF$3,"I","")</f>
        <v>#ERROR!</v>
      </c>
      <c r="AG99" s="49" t="str">
        <f t="shared" si="480"/>
        <v>#ERROR!</v>
      </c>
      <c r="AH99" s="50" t="str">
        <f t="shared" si="480"/>
        <v>#ERROR!</v>
      </c>
      <c r="AI99" s="48" t="str">
        <f t="shared" ref="AI99:AK99" si="481">IF($Y99=AI$3,"A","")</f>
        <v>#ERROR!</v>
      </c>
      <c r="AJ99" s="49" t="str">
        <f t="shared" si="481"/>
        <v>#ERROR!</v>
      </c>
      <c r="AK99" s="50" t="str">
        <f t="shared" si="481"/>
        <v>#ERROR!</v>
      </c>
      <c r="AL99" s="48" t="str">
        <f t="shared" ref="AL99:AN99" si="482">IF($Y99=AL$3,"M","")</f>
        <v>#ERROR!</v>
      </c>
      <c r="AM99" s="49" t="str">
        <f t="shared" si="482"/>
        <v>#ERROR!</v>
      </c>
      <c r="AN99" s="50" t="str">
        <f t="shared" si="482"/>
        <v>#ERROR!</v>
      </c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5" t="s">
        <v>26</v>
      </c>
      <c r="T100" s="26" t="s">
        <v>205</v>
      </c>
      <c r="U100" s="27" t="str">
        <f>VLOOKUP(T100,X4:Y136,2,FALSE)</f>
        <v>#ERROR!</v>
      </c>
      <c r="V100" s="13"/>
      <c r="W100" s="25" t="s">
        <v>26</v>
      </c>
      <c r="X100" s="26" t="s">
        <v>211</v>
      </c>
      <c r="Y100" s="27" t="str">
        <f>VLOOKUP(X100,[1]!Magic_Energies,2,FALSE)</f>
        <v>#ERROR!</v>
      </c>
      <c r="Z100" s="48" t="str">
        <f t="shared" ref="Z100:AB100" si="483">IF($Y100=Z$3,"S","")</f>
        <v>#ERROR!</v>
      </c>
      <c r="AA100" s="49" t="str">
        <f t="shared" si="483"/>
        <v>#ERROR!</v>
      </c>
      <c r="AB100" s="50" t="str">
        <f t="shared" si="483"/>
        <v>#ERROR!</v>
      </c>
      <c r="AC100" s="48" t="str">
        <f t="shared" ref="AC100:AE100" si="484">IF($Y100=AC$3,"B","")</f>
        <v>#ERROR!</v>
      </c>
      <c r="AD100" s="49" t="str">
        <f t="shared" si="484"/>
        <v>#ERROR!</v>
      </c>
      <c r="AE100" s="50" t="str">
        <f t="shared" si="484"/>
        <v>#ERROR!</v>
      </c>
      <c r="AF100" s="48" t="str">
        <f t="shared" ref="AF100:AH100" si="485">IF($Y100=AF$3,"I","")</f>
        <v>#ERROR!</v>
      </c>
      <c r="AG100" s="49" t="str">
        <f t="shared" si="485"/>
        <v>#ERROR!</v>
      </c>
      <c r="AH100" s="50" t="str">
        <f t="shared" si="485"/>
        <v>#ERROR!</v>
      </c>
      <c r="AI100" s="48" t="str">
        <f t="shared" ref="AI100:AK100" si="486">IF($Y100=AI$3,"A","")</f>
        <v>#ERROR!</v>
      </c>
      <c r="AJ100" s="49" t="str">
        <f t="shared" si="486"/>
        <v>#ERROR!</v>
      </c>
      <c r="AK100" s="50" t="str">
        <f t="shared" si="486"/>
        <v>#ERROR!</v>
      </c>
      <c r="AL100" s="48" t="str">
        <f t="shared" ref="AL100:AN100" si="487">IF($Y100=AL$3,"M","")</f>
        <v>#ERROR!</v>
      </c>
      <c r="AM100" s="49" t="str">
        <f t="shared" si="487"/>
        <v>#ERROR!</v>
      </c>
      <c r="AN100" s="50" t="str">
        <f t="shared" si="487"/>
        <v>#ERROR!</v>
      </c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5" t="s">
        <v>26</v>
      </c>
      <c r="T101" s="26" t="s">
        <v>212</v>
      </c>
      <c r="U101" s="27" t="str">
        <f>VLOOKUP(T101,X4:Y136,2,FALSE)</f>
        <v>#ERROR!</v>
      </c>
      <c r="V101" s="13"/>
      <c r="W101" s="25" t="s">
        <v>26</v>
      </c>
      <c r="X101" s="26" t="s">
        <v>44</v>
      </c>
      <c r="Y101" s="27" t="str">
        <f>VLOOKUP(X101,[1]!Magic_Energies,2,FALSE)</f>
        <v>#ERROR!</v>
      </c>
      <c r="Z101" s="48" t="str">
        <f t="shared" ref="Z101:AB101" si="488">IF($Y101=Z$3,"S","")</f>
        <v>#ERROR!</v>
      </c>
      <c r="AA101" s="49" t="str">
        <f t="shared" si="488"/>
        <v>#ERROR!</v>
      </c>
      <c r="AB101" s="50" t="str">
        <f t="shared" si="488"/>
        <v>#ERROR!</v>
      </c>
      <c r="AC101" s="48" t="str">
        <f t="shared" ref="AC101:AE101" si="489">IF($Y101=AC$3,"B","")</f>
        <v>#ERROR!</v>
      </c>
      <c r="AD101" s="49" t="str">
        <f t="shared" si="489"/>
        <v>#ERROR!</v>
      </c>
      <c r="AE101" s="50" t="str">
        <f t="shared" si="489"/>
        <v>#ERROR!</v>
      </c>
      <c r="AF101" s="48" t="str">
        <f t="shared" ref="AF101:AH101" si="490">IF($Y101=AF$3,"I","")</f>
        <v>#ERROR!</v>
      </c>
      <c r="AG101" s="49" t="str">
        <f t="shared" si="490"/>
        <v>#ERROR!</v>
      </c>
      <c r="AH101" s="50" t="str">
        <f t="shared" si="490"/>
        <v>#ERROR!</v>
      </c>
      <c r="AI101" s="48" t="str">
        <f t="shared" ref="AI101:AK101" si="491">IF($Y101=AI$3,"A","")</f>
        <v>#ERROR!</v>
      </c>
      <c r="AJ101" s="49" t="str">
        <f t="shared" si="491"/>
        <v>#ERROR!</v>
      </c>
      <c r="AK101" s="50" t="str">
        <f t="shared" si="491"/>
        <v>#ERROR!</v>
      </c>
      <c r="AL101" s="48" t="str">
        <f t="shared" ref="AL101:AN101" si="492">IF($Y101=AL$3,"M","")</f>
        <v>#ERROR!</v>
      </c>
      <c r="AM101" s="49" t="str">
        <f t="shared" si="492"/>
        <v>#ERROR!</v>
      </c>
      <c r="AN101" s="50" t="str">
        <f t="shared" si="492"/>
        <v>#ERROR!</v>
      </c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5" t="s">
        <v>26</v>
      </c>
      <c r="T102" s="26" t="s">
        <v>87</v>
      </c>
      <c r="U102" s="27" t="str">
        <f>VLOOKUP(T102,X4:Y136,2,FALSE)</f>
        <v>#ERROR!</v>
      </c>
      <c r="V102" s="13"/>
      <c r="W102" s="25" t="s">
        <v>26</v>
      </c>
      <c r="X102" s="26" t="s">
        <v>63</v>
      </c>
      <c r="Y102" s="27" t="str">
        <f>VLOOKUP(X102,[1]!Magic_Energies,2,FALSE)</f>
        <v>#ERROR!</v>
      </c>
      <c r="Z102" s="48" t="str">
        <f t="shared" ref="Z102:AB102" si="493">IF($Y102=Z$3,"S","")</f>
        <v>#ERROR!</v>
      </c>
      <c r="AA102" s="49" t="str">
        <f t="shared" si="493"/>
        <v>#ERROR!</v>
      </c>
      <c r="AB102" s="50" t="str">
        <f t="shared" si="493"/>
        <v>#ERROR!</v>
      </c>
      <c r="AC102" s="48" t="str">
        <f t="shared" ref="AC102:AE102" si="494">IF($Y102=AC$3,"B","")</f>
        <v>#ERROR!</v>
      </c>
      <c r="AD102" s="49" t="str">
        <f t="shared" si="494"/>
        <v>#ERROR!</v>
      </c>
      <c r="AE102" s="50" t="str">
        <f t="shared" si="494"/>
        <v>#ERROR!</v>
      </c>
      <c r="AF102" s="48" t="str">
        <f t="shared" ref="AF102:AH102" si="495">IF($Y102=AF$3,"I","")</f>
        <v>#ERROR!</v>
      </c>
      <c r="AG102" s="49" t="str">
        <f t="shared" si="495"/>
        <v>#ERROR!</v>
      </c>
      <c r="AH102" s="50" t="str">
        <f t="shared" si="495"/>
        <v>#ERROR!</v>
      </c>
      <c r="AI102" s="48" t="str">
        <f t="shared" ref="AI102:AK102" si="496">IF($Y102=AI$3,"A","")</f>
        <v>#ERROR!</v>
      </c>
      <c r="AJ102" s="49" t="str">
        <f t="shared" si="496"/>
        <v>#ERROR!</v>
      </c>
      <c r="AK102" s="50" t="str">
        <f t="shared" si="496"/>
        <v>#ERROR!</v>
      </c>
      <c r="AL102" s="48" t="str">
        <f t="shared" ref="AL102:AN102" si="497">IF($Y102=AL$3,"M","")</f>
        <v>#ERROR!</v>
      </c>
      <c r="AM102" s="49" t="str">
        <f t="shared" si="497"/>
        <v>#ERROR!</v>
      </c>
      <c r="AN102" s="50" t="str">
        <f t="shared" si="497"/>
        <v>#ERROR!</v>
      </c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5" t="s">
        <v>26</v>
      </c>
      <c r="T103" s="26" t="s">
        <v>171</v>
      </c>
      <c r="U103" s="27" t="str">
        <f>VLOOKUP(T103,X4:Y136,2,FALSE)</f>
        <v>#ERROR!</v>
      </c>
      <c r="V103" s="13"/>
      <c r="W103" s="25" t="s">
        <v>52</v>
      </c>
      <c r="X103" s="26" t="s">
        <v>95</v>
      </c>
      <c r="Y103" s="27" t="str">
        <f>VLOOKUP(X103,[1]!Magic_Energies,2,FALSE)</f>
        <v>#ERROR!</v>
      </c>
      <c r="Z103" s="48" t="str">
        <f t="shared" ref="Z103:AB103" si="498">IF($Y103=Z$3,"S","")</f>
        <v>#ERROR!</v>
      </c>
      <c r="AA103" s="49" t="str">
        <f t="shared" si="498"/>
        <v>#ERROR!</v>
      </c>
      <c r="AB103" s="50" t="str">
        <f t="shared" si="498"/>
        <v>#ERROR!</v>
      </c>
      <c r="AC103" s="48" t="str">
        <f t="shared" ref="AC103:AE103" si="499">IF($Y103=AC$3,"B","")</f>
        <v>#ERROR!</v>
      </c>
      <c r="AD103" s="49" t="str">
        <f t="shared" si="499"/>
        <v>#ERROR!</v>
      </c>
      <c r="AE103" s="50" t="str">
        <f t="shared" si="499"/>
        <v>#ERROR!</v>
      </c>
      <c r="AF103" s="48" t="str">
        <f t="shared" ref="AF103:AH103" si="500">IF($Y103=AF$3,"I","")</f>
        <v>#ERROR!</v>
      </c>
      <c r="AG103" s="49" t="str">
        <f t="shared" si="500"/>
        <v>#ERROR!</v>
      </c>
      <c r="AH103" s="50" t="str">
        <f t="shared" si="500"/>
        <v>#ERROR!</v>
      </c>
      <c r="AI103" s="48" t="str">
        <f t="shared" ref="AI103:AK103" si="501">IF($Y103=AI$3,"A","")</f>
        <v>#ERROR!</v>
      </c>
      <c r="AJ103" s="49" t="str">
        <f t="shared" si="501"/>
        <v>#ERROR!</v>
      </c>
      <c r="AK103" s="50" t="str">
        <f t="shared" si="501"/>
        <v>#ERROR!</v>
      </c>
      <c r="AL103" s="48" t="str">
        <f t="shared" ref="AL103:AN103" si="502">IF($Y103=AL$3,"M","")</f>
        <v>#ERROR!</v>
      </c>
      <c r="AM103" s="49" t="str">
        <f t="shared" si="502"/>
        <v>#ERROR!</v>
      </c>
      <c r="AN103" s="50" t="str">
        <f t="shared" si="502"/>
        <v>#ERROR!</v>
      </c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5" t="s">
        <v>26</v>
      </c>
      <c r="T104" s="26" t="s">
        <v>206</v>
      </c>
      <c r="U104" s="27" t="str">
        <f>VLOOKUP(T104,X4:Y136,2,FALSE)</f>
        <v>#ERROR!</v>
      </c>
      <c r="V104" s="13"/>
      <c r="W104" s="25" t="s">
        <v>18</v>
      </c>
      <c r="X104" s="26" t="s">
        <v>150</v>
      </c>
      <c r="Y104" s="27" t="str">
        <f>VLOOKUP(X104,[1]!Magic_Energies,2,FALSE)</f>
        <v>#ERROR!</v>
      </c>
      <c r="Z104" s="48" t="str">
        <f t="shared" ref="Z104:AB104" si="503">IF($Y104=Z$3,"S","")</f>
        <v>#ERROR!</v>
      </c>
      <c r="AA104" s="49" t="str">
        <f t="shared" si="503"/>
        <v>#ERROR!</v>
      </c>
      <c r="AB104" s="50" t="str">
        <f t="shared" si="503"/>
        <v>#ERROR!</v>
      </c>
      <c r="AC104" s="48" t="str">
        <f t="shared" ref="AC104:AE104" si="504">IF($Y104=AC$3,"B","")</f>
        <v>#ERROR!</v>
      </c>
      <c r="AD104" s="49" t="str">
        <f t="shared" si="504"/>
        <v>#ERROR!</v>
      </c>
      <c r="AE104" s="50" t="str">
        <f t="shared" si="504"/>
        <v>#ERROR!</v>
      </c>
      <c r="AF104" s="48" t="str">
        <f t="shared" ref="AF104:AH104" si="505">IF($Y104=AF$3,"I","")</f>
        <v>#ERROR!</v>
      </c>
      <c r="AG104" s="49" t="str">
        <f t="shared" si="505"/>
        <v>#ERROR!</v>
      </c>
      <c r="AH104" s="50" t="str">
        <f t="shared" si="505"/>
        <v>#ERROR!</v>
      </c>
      <c r="AI104" s="48" t="str">
        <f t="shared" ref="AI104:AK104" si="506">IF($Y104=AI$3,"A","")</f>
        <v>#ERROR!</v>
      </c>
      <c r="AJ104" s="49" t="str">
        <f t="shared" si="506"/>
        <v>#ERROR!</v>
      </c>
      <c r="AK104" s="50" t="str">
        <f t="shared" si="506"/>
        <v>#ERROR!</v>
      </c>
      <c r="AL104" s="48" t="str">
        <f t="shared" ref="AL104:AN104" si="507">IF($Y104=AL$3,"M","")</f>
        <v>#ERROR!</v>
      </c>
      <c r="AM104" s="49" t="str">
        <f t="shared" si="507"/>
        <v>#ERROR!</v>
      </c>
      <c r="AN104" s="50" t="str">
        <f t="shared" si="507"/>
        <v>#ERROR!</v>
      </c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5" t="s">
        <v>26</v>
      </c>
      <c r="T105" s="26" t="s">
        <v>213</v>
      </c>
      <c r="U105" s="27" t="str">
        <f>VLOOKUP(T105,X4:Y136,2,FALSE)</f>
        <v>#ERROR!</v>
      </c>
      <c r="V105" s="13"/>
      <c r="W105" s="25" t="s">
        <v>26</v>
      </c>
      <c r="X105" s="26" t="s">
        <v>156</v>
      </c>
      <c r="Y105" s="27" t="str">
        <f>VLOOKUP(X105,[1]!Magic_Energies,2,FALSE)</f>
        <v>#ERROR!</v>
      </c>
      <c r="Z105" s="48" t="str">
        <f t="shared" ref="Z105:AB105" si="508">IF($Y105=Z$3,"S","")</f>
        <v>#ERROR!</v>
      </c>
      <c r="AA105" s="49" t="str">
        <f t="shared" si="508"/>
        <v>#ERROR!</v>
      </c>
      <c r="AB105" s="50" t="str">
        <f t="shared" si="508"/>
        <v>#ERROR!</v>
      </c>
      <c r="AC105" s="48" t="str">
        <f t="shared" ref="AC105:AE105" si="509">IF($Y105=AC$3,"B","")</f>
        <v>#ERROR!</v>
      </c>
      <c r="AD105" s="49" t="str">
        <f t="shared" si="509"/>
        <v>#ERROR!</v>
      </c>
      <c r="AE105" s="50" t="str">
        <f t="shared" si="509"/>
        <v>#ERROR!</v>
      </c>
      <c r="AF105" s="48" t="str">
        <f t="shared" ref="AF105:AH105" si="510">IF($Y105=AF$3,"I","")</f>
        <v>#ERROR!</v>
      </c>
      <c r="AG105" s="49" t="str">
        <f t="shared" si="510"/>
        <v>#ERROR!</v>
      </c>
      <c r="AH105" s="50" t="str">
        <f t="shared" si="510"/>
        <v>#ERROR!</v>
      </c>
      <c r="AI105" s="48" t="str">
        <f t="shared" ref="AI105:AK105" si="511">IF($Y105=AI$3,"A","")</f>
        <v>#ERROR!</v>
      </c>
      <c r="AJ105" s="49" t="str">
        <f t="shared" si="511"/>
        <v>#ERROR!</v>
      </c>
      <c r="AK105" s="50" t="str">
        <f t="shared" si="511"/>
        <v>#ERROR!</v>
      </c>
      <c r="AL105" s="48" t="str">
        <f t="shared" ref="AL105:AN105" si="512">IF($Y105=AL$3,"M","")</f>
        <v>#ERROR!</v>
      </c>
      <c r="AM105" s="49" t="str">
        <f t="shared" si="512"/>
        <v>#ERROR!</v>
      </c>
      <c r="AN105" s="50" t="str">
        <f t="shared" si="512"/>
        <v>#ERROR!</v>
      </c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5" t="s">
        <v>52</v>
      </c>
      <c r="T106" s="26" t="s">
        <v>177</v>
      </c>
      <c r="U106" s="27" t="str">
        <f>VLOOKUP(T106,X4:Y136,2,FALSE)</f>
        <v>#ERROR!</v>
      </c>
      <c r="V106" s="13"/>
      <c r="W106" s="25" t="s">
        <v>26</v>
      </c>
      <c r="X106" s="26" t="s">
        <v>184</v>
      </c>
      <c r="Y106" s="27" t="str">
        <f>VLOOKUP(X106,[1]!Magic_Energies,2,FALSE)</f>
        <v>#ERROR!</v>
      </c>
      <c r="Z106" s="48" t="str">
        <f t="shared" ref="Z106:AB106" si="513">IF($Y106=Z$3,"S","")</f>
        <v>#ERROR!</v>
      </c>
      <c r="AA106" s="49" t="str">
        <f t="shared" si="513"/>
        <v>#ERROR!</v>
      </c>
      <c r="AB106" s="50" t="str">
        <f t="shared" si="513"/>
        <v>#ERROR!</v>
      </c>
      <c r="AC106" s="48" t="str">
        <f t="shared" ref="AC106:AE106" si="514">IF($Y106=AC$3,"B","")</f>
        <v>#ERROR!</v>
      </c>
      <c r="AD106" s="49" t="str">
        <f t="shared" si="514"/>
        <v>#ERROR!</v>
      </c>
      <c r="AE106" s="50" t="str">
        <f t="shared" si="514"/>
        <v>#ERROR!</v>
      </c>
      <c r="AF106" s="48" t="str">
        <f t="shared" ref="AF106:AH106" si="515">IF($Y106=AF$3,"I","")</f>
        <v>#ERROR!</v>
      </c>
      <c r="AG106" s="49" t="str">
        <f t="shared" si="515"/>
        <v>#ERROR!</v>
      </c>
      <c r="AH106" s="50" t="str">
        <f t="shared" si="515"/>
        <v>#ERROR!</v>
      </c>
      <c r="AI106" s="48" t="str">
        <f t="shared" ref="AI106:AK106" si="516">IF($Y106=AI$3,"A","")</f>
        <v>#ERROR!</v>
      </c>
      <c r="AJ106" s="49" t="str">
        <f t="shared" si="516"/>
        <v>#ERROR!</v>
      </c>
      <c r="AK106" s="50" t="str">
        <f t="shared" si="516"/>
        <v>#ERROR!</v>
      </c>
      <c r="AL106" s="48" t="str">
        <f t="shared" ref="AL106:AN106" si="517">IF($Y106=AL$3,"M","")</f>
        <v>#ERROR!</v>
      </c>
      <c r="AM106" s="49" t="str">
        <f t="shared" si="517"/>
        <v>#ERROR!</v>
      </c>
      <c r="AN106" s="50" t="str">
        <f t="shared" si="517"/>
        <v>#ERROR!</v>
      </c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5" t="s">
        <v>52</v>
      </c>
      <c r="T107" s="26" t="s">
        <v>172</v>
      </c>
      <c r="U107" s="27" t="str">
        <f>VLOOKUP(T107,X4:Y136,2,FALSE)</f>
        <v>#ERROR!</v>
      </c>
      <c r="V107" s="13"/>
      <c r="W107" s="25" t="s">
        <v>52</v>
      </c>
      <c r="X107" s="26" t="s">
        <v>196</v>
      </c>
      <c r="Y107" s="27" t="str">
        <f>VLOOKUP(X107,[1]!Magic_Energies,2,FALSE)</f>
        <v>#ERROR!</v>
      </c>
      <c r="Z107" s="48" t="str">
        <f t="shared" ref="Z107:AB107" si="518">IF($Y107=Z$3,"S","")</f>
        <v>#ERROR!</v>
      </c>
      <c r="AA107" s="49" t="str">
        <f t="shared" si="518"/>
        <v>#ERROR!</v>
      </c>
      <c r="AB107" s="50" t="str">
        <f t="shared" si="518"/>
        <v>#ERROR!</v>
      </c>
      <c r="AC107" s="48" t="str">
        <f t="shared" ref="AC107:AE107" si="519">IF($Y107=AC$3,"B","")</f>
        <v>#ERROR!</v>
      </c>
      <c r="AD107" s="49" t="str">
        <f t="shared" si="519"/>
        <v>#ERROR!</v>
      </c>
      <c r="AE107" s="50" t="str">
        <f t="shared" si="519"/>
        <v>#ERROR!</v>
      </c>
      <c r="AF107" s="48" t="str">
        <f t="shared" ref="AF107:AH107" si="520">IF($Y107=AF$3,"I","")</f>
        <v>#ERROR!</v>
      </c>
      <c r="AG107" s="49" t="str">
        <f t="shared" si="520"/>
        <v>#ERROR!</v>
      </c>
      <c r="AH107" s="50" t="str">
        <f t="shared" si="520"/>
        <v>#ERROR!</v>
      </c>
      <c r="AI107" s="48" t="str">
        <f t="shared" ref="AI107:AK107" si="521">IF($Y107=AI$3,"A","")</f>
        <v>#ERROR!</v>
      </c>
      <c r="AJ107" s="49" t="str">
        <f t="shared" si="521"/>
        <v>#ERROR!</v>
      </c>
      <c r="AK107" s="50" t="str">
        <f t="shared" si="521"/>
        <v>#ERROR!</v>
      </c>
      <c r="AL107" s="48" t="str">
        <f t="shared" ref="AL107:AN107" si="522">IF($Y107=AL$3,"M","")</f>
        <v>#ERROR!</v>
      </c>
      <c r="AM107" s="49" t="str">
        <f t="shared" si="522"/>
        <v>#ERROR!</v>
      </c>
      <c r="AN107" s="50" t="str">
        <f t="shared" si="522"/>
        <v>#ERROR!</v>
      </c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5" t="s">
        <v>26</v>
      </c>
      <c r="T108" s="26" t="s">
        <v>179</v>
      </c>
      <c r="U108" s="27" t="str">
        <f>VLOOKUP(T108,X4:Y136,2,FALSE)</f>
        <v>#ERROR!</v>
      </c>
      <c r="V108" s="13"/>
      <c r="W108" s="25" t="s">
        <v>26</v>
      </c>
      <c r="X108" s="26" t="s">
        <v>207</v>
      </c>
      <c r="Y108" s="27" t="str">
        <f>VLOOKUP(X108,[1]!Magic_Energies,2,FALSE)</f>
        <v>#ERROR!</v>
      </c>
      <c r="Z108" s="48" t="str">
        <f t="shared" ref="Z108:AB108" si="523">IF($Y108=Z$3,"S","")</f>
        <v>#ERROR!</v>
      </c>
      <c r="AA108" s="49" t="str">
        <f t="shared" si="523"/>
        <v>#ERROR!</v>
      </c>
      <c r="AB108" s="50" t="str">
        <f t="shared" si="523"/>
        <v>#ERROR!</v>
      </c>
      <c r="AC108" s="48" t="str">
        <f t="shared" ref="AC108:AE108" si="524">IF($Y108=AC$3,"B","")</f>
        <v>#ERROR!</v>
      </c>
      <c r="AD108" s="49" t="str">
        <f t="shared" si="524"/>
        <v>#ERROR!</v>
      </c>
      <c r="AE108" s="50" t="str">
        <f t="shared" si="524"/>
        <v>#ERROR!</v>
      </c>
      <c r="AF108" s="48" t="str">
        <f t="shared" ref="AF108:AH108" si="525">IF($Y108=AF$3,"I","")</f>
        <v>#ERROR!</v>
      </c>
      <c r="AG108" s="49" t="str">
        <f t="shared" si="525"/>
        <v>#ERROR!</v>
      </c>
      <c r="AH108" s="50" t="str">
        <f t="shared" si="525"/>
        <v>#ERROR!</v>
      </c>
      <c r="AI108" s="48" t="str">
        <f t="shared" ref="AI108:AK108" si="526">IF($Y108=AI$3,"A","")</f>
        <v>#ERROR!</v>
      </c>
      <c r="AJ108" s="49" t="str">
        <f t="shared" si="526"/>
        <v>#ERROR!</v>
      </c>
      <c r="AK108" s="50" t="str">
        <f t="shared" si="526"/>
        <v>#ERROR!</v>
      </c>
      <c r="AL108" s="48" t="str">
        <f t="shared" ref="AL108:AN108" si="527">IF($Y108=AL$3,"M","")</f>
        <v>#ERROR!</v>
      </c>
      <c r="AM108" s="49" t="str">
        <f t="shared" si="527"/>
        <v>#ERROR!</v>
      </c>
      <c r="AN108" s="50" t="str">
        <f t="shared" si="527"/>
        <v>#ERROR!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5" t="s">
        <v>26</v>
      </c>
      <c r="T109" s="26" t="s">
        <v>197</v>
      </c>
      <c r="U109" s="27" t="str">
        <f>VLOOKUP(T109,X4:Y136,2,FALSE)</f>
        <v>#ERROR!</v>
      </c>
      <c r="V109" s="13"/>
      <c r="W109" s="25" t="s">
        <v>26</v>
      </c>
      <c r="X109" s="26" t="s">
        <v>214</v>
      </c>
      <c r="Y109" s="27" t="str">
        <f>VLOOKUP(X109,[1]!Magic_Energies,2,FALSE)</f>
        <v>#ERROR!</v>
      </c>
      <c r="Z109" s="48" t="str">
        <f t="shared" ref="Z109:AB109" si="528">IF($Y109=Z$3,"S","")</f>
        <v>#ERROR!</v>
      </c>
      <c r="AA109" s="49" t="str">
        <f t="shared" si="528"/>
        <v>#ERROR!</v>
      </c>
      <c r="AB109" s="50" t="str">
        <f t="shared" si="528"/>
        <v>#ERROR!</v>
      </c>
      <c r="AC109" s="48" t="str">
        <f t="shared" ref="AC109:AE109" si="529">IF($Y109=AC$3,"B","")</f>
        <v>#ERROR!</v>
      </c>
      <c r="AD109" s="49" t="str">
        <f t="shared" si="529"/>
        <v>#ERROR!</v>
      </c>
      <c r="AE109" s="50" t="str">
        <f t="shared" si="529"/>
        <v>#ERROR!</v>
      </c>
      <c r="AF109" s="48" t="str">
        <f t="shared" ref="AF109:AH109" si="530">IF($Y109=AF$3,"I","")</f>
        <v>#ERROR!</v>
      </c>
      <c r="AG109" s="49" t="str">
        <f t="shared" si="530"/>
        <v>#ERROR!</v>
      </c>
      <c r="AH109" s="50" t="str">
        <f t="shared" si="530"/>
        <v>#ERROR!</v>
      </c>
      <c r="AI109" s="48" t="str">
        <f t="shared" ref="AI109:AK109" si="531">IF($Y109=AI$3,"A","")</f>
        <v>#ERROR!</v>
      </c>
      <c r="AJ109" s="49" t="str">
        <f t="shared" si="531"/>
        <v>#ERROR!</v>
      </c>
      <c r="AK109" s="50" t="str">
        <f t="shared" si="531"/>
        <v>#ERROR!</v>
      </c>
      <c r="AL109" s="48" t="str">
        <f t="shared" ref="AL109:AN109" si="532">IF($Y109=AL$3,"M","")</f>
        <v>#ERROR!</v>
      </c>
      <c r="AM109" s="49" t="str">
        <f t="shared" si="532"/>
        <v>#ERROR!</v>
      </c>
      <c r="AN109" s="50" t="str">
        <f t="shared" si="532"/>
        <v>#ERROR!</v>
      </c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5" t="s">
        <v>26</v>
      </c>
      <c r="T110" s="26" t="s">
        <v>138</v>
      </c>
      <c r="U110" s="27" t="str">
        <f>VLOOKUP(T110,X4:Y136,2,FALSE)</f>
        <v>#ERROR!</v>
      </c>
      <c r="V110" s="13"/>
      <c r="W110" s="25" t="s">
        <v>26</v>
      </c>
      <c r="X110" s="26" t="s">
        <v>122</v>
      </c>
      <c r="Y110" s="27" t="str">
        <f>VLOOKUP(X110,[1]!Magic_Energies,2,FALSE)</f>
        <v>#ERROR!</v>
      </c>
      <c r="Z110" s="48" t="str">
        <f t="shared" ref="Z110:AB110" si="533">IF($Y110=Z$3,"S","")</f>
        <v>#ERROR!</v>
      </c>
      <c r="AA110" s="49" t="str">
        <f t="shared" si="533"/>
        <v>#ERROR!</v>
      </c>
      <c r="AB110" s="50" t="str">
        <f t="shared" si="533"/>
        <v>#ERROR!</v>
      </c>
      <c r="AC110" s="48" t="str">
        <f t="shared" ref="AC110:AE110" si="534">IF($Y110=AC$3,"B","")</f>
        <v>#ERROR!</v>
      </c>
      <c r="AD110" s="49" t="str">
        <f t="shared" si="534"/>
        <v>#ERROR!</v>
      </c>
      <c r="AE110" s="50" t="str">
        <f t="shared" si="534"/>
        <v>#ERROR!</v>
      </c>
      <c r="AF110" s="48" t="str">
        <f t="shared" ref="AF110:AH110" si="535">IF($Y110=AF$3,"I","")</f>
        <v>#ERROR!</v>
      </c>
      <c r="AG110" s="49" t="str">
        <f t="shared" si="535"/>
        <v>#ERROR!</v>
      </c>
      <c r="AH110" s="50" t="str">
        <f t="shared" si="535"/>
        <v>#ERROR!</v>
      </c>
      <c r="AI110" s="48" t="str">
        <f t="shared" ref="AI110:AK110" si="536">IF($Y110=AI$3,"A","")</f>
        <v>#ERROR!</v>
      </c>
      <c r="AJ110" s="49" t="str">
        <f t="shared" si="536"/>
        <v>#ERROR!</v>
      </c>
      <c r="AK110" s="50" t="str">
        <f t="shared" si="536"/>
        <v>#ERROR!</v>
      </c>
      <c r="AL110" s="48" t="str">
        <f t="shared" ref="AL110:AN110" si="537">IF($Y110=AL$3,"M","")</f>
        <v>#ERROR!</v>
      </c>
      <c r="AM110" s="49" t="str">
        <f t="shared" si="537"/>
        <v>#ERROR!</v>
      </c>
      <c r="AN110" s="50" t="str">
        <f t="shared" si="537"/>
        <v>#ERROR!</v>
      </c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5" t="s">
        <v>26</v>
      </c>
      <c r="T111" s="26" t="s">
        <v>214</v>
      </c>
      <c r="U111" s="27" t="str">
        <f>VLOOKUP(T111,X4:Y136,2,FALSE)</f>
        <v>#ERROR!</v>
      </c>
      <c r="V111" s="13"/>
      <c r="W111" s="25" t="s">
        <v>26</v>
      </c>
      <c r="X111" s="26" t="s">
        <v>141</v>
      </c>
      <c r="Y111" s="27" t="str">
        <f>VLOOKUP(X111,[1]!Magic_Energies,2,FALSE)</f>
        <v>#ERROR!</v>
      </c>
      <c r="Z111" s="48" t="str">
        <f t="shared" ref="Z111:AB111" si="538">IF($Y111=Z$3,"S","")</f>
        <v>#ERROR!</v>
      </c>
      <c r="AA111" s="49" t="str">
        <f t="shared" si="538"/>
        <v>#ERROR!</v>
      </c>
      <c r="AB111" s="50" t="str">
        <f t="shared" si="538"/>
        <v>#ERROR!</v>
      </c>
      <c r="AC111" s="48" t="str">
        <f t="shared" ref="AC111:AE111" si="539">IF($Y111=AC$3,"B","")</f>
        <v>#ERROR!</v>
      </c>
      <c r="AD111" s="49" t="str">
        <f t="shared" si="539"/>
        <v>#ERROR!</v>
      </c>
      <c r="AE111" s="50" t="str">
        <f t="shared" si="539"/>
        <v>#ERROR!</v>
      </c>
      <c r="AF111" s="48" t="str">
        <f t="shared" ref="AF111:AH111" si="540">IF($Y111=AF$3,"I","")</f>
        <v>#ERROR!</v>
      </c>
      <c r="AG111" s="49" t="str">
        <f t="shared" si="540"/>
        <v>#ERROR!</v>
      </c>
      <c r="AH111" s="50" t="str">
        <f t="shared" si="540"/>
        <v>#ERROR!</v>
      </c>
      <c r="AI111" s="48" t="str">
        <f t="shared" ref="AI111:AK111" si="541">IF($Y111=AI$3,"A","")</f>
        <v>#ERROR!</v>
      </c>
      <c r="AJ111" s="49" t="str">
        <f t="shared" si="541"/>
        <v>#ERROR!</v>
      </c>
      <c r="AK111" s="50" t="str">
        <f t="shared" si="541"/>
        <v>#ERROR!</v>
      </c>
      <c r="AL111" s="48" t="str">
        <f t="shared" ref="AL111:AN111" si="542">IF($Y111=AL$3,"M","")</f>
        <v>#ERROR!</v>
      </c>
      <c r="AM111" s="49" t="str">
        <f t="shared" si="542"/>
        <v>#ERROR!</v>
      </c>
      <c r="AN111" s="50" t="str">
        <f t="shared" si="542"/>
        <v>#ERROR!</v>
      </c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5" t="s">
        <v>18</v>
      </c>
      <c r="T112" s="26" t="s">
        <v>215</v>
      </c>
      <c r="U112" s="27" t="str">
        <f>VLOOKUP(T112,X4:Y136,2,FALSE)</f>
        <v>#ERROR!</v>
      </c>
      <c r="V112" s="13"/>
      <c r="W112" s="25" t="s">
        <v>26</v>
      </c>
      <c r="X112" s="26" t="s">
        <v>175</v>
      </c>
      <c r="Y112" s="27" t="str">
        <f>VLOOKUP(X112,[1]!Magic_Energies,2,FALSE)</f>
        <v>#ERROR!</v>
      </c>
      <c r="Z112" s="48" t="str">
        <f t="shared" ref="Z112:AB112" si="543">IF($Y112=Z$3,"S","")</f>
        <v>#ERROR!</v>
      </c>
      <c r="AA112" s="49" t="str">
        <f t="shared" si="543"/>
        <v>#ERROR!</v>
      </c>
      <c r="AB112" s="50" t="str">
        <f t="shared" si="543"/>
        <v>#ERROR!</v>
      </c>
      <c r="AC112" s="48" t="str">
        <f t="shared" ref="AC112:AE112" si="544">IF($Y112=AC$3,"B","")</f>
        <v>#ERROR!</v>
      </c>
      <c r="AD112" s="49" t="str">
        <f t="shared" si="544"/>
        <v>#ERROR!</v>
      </c>
      <c r="AE112" s="50" t="str">
        <f t="shared" si="544"/>
        <v>#ERROR!</v>
      </c>
      <c r="AF112" s="48" t="str">
        <f t="shared" ref="AF112:AH112" si="545">IF($Y112=AF$3,"I","")</f>
        <v>#ERROR!</v>
      </c>
      <c r="AG112" s="49" t="str">
        <f t="shared" si="545"/>
        <v>#ERROR!</v>
      </c>
      <c r="AH112" s="50" t="str">
        <f t="shared" si="545"/>
        <v>#ERROR!</v>
      </c>
      <c r="AI112" s="48" t="str">
        <f t="shared" ref="AI112:AK112" si="546">IF($Y112=AI$3,"A","")</f>
        <v>#ERROR!</v>
      </c>
      <c r="AJ112" s="49" t="str">
        <f t="shared" si="546"/>
        <v>#ERROR!</v>
      </c>
      <c r="AK112" s="50" t="str">
        <f t="shared" si="546"/>
        <v>#ERROR!</v>
      </c>
      <c r="AL112" s="48" t="str">
        <f t="shared" ref="AL112:AN112" si="547">IF($Y112=AL$3,"M","")</f>
        <v>#ERROR!</v>
      </c>
      <c r="AM112" s="49" t="str">
        <f t="shared" si="547"/>
        <v>#ERROR!</v>
      </c>
      <c r="AN112" s="50" t="str">
        <f t="shared" si="547"/>
        <v>#ERROR!</v>
      </c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5" t="s">
        <v>52</v>
      </c>
      <c r="T113" s="26" t="s">
        <v>173</v>
      </c>
      <c r="U113" s="27" t="str">
        <f>VLOOKUP(T113,X4:Y136,2,FALSE)</f>
        <v>#ERROR!</v>
      </c>
      <c r="V113" s="13"/>
      <c r="W113" s="25" t="s">
        <v>26</v>
      </c>
      <c r="X113" s="26" t="s">
        <v>203</v>
      </c>
      <c r="Y113" s="27" t="str">
        <f>VLOOKUP(X113,[1]!Magic_Energies,2,FALSE)</f>
        <v>#ERROR!</v>
      </c>
      <c r="Z113" s="48" t="str">
        <f t="shared" ref="Z113:AB113" si="548">IF($Y113=Z$3,"S","")</f>
        <v>#ERROR!</v>
      </c>
      <c r="AA113" s="49" t="str">
        <f t="shared" si="548"/>
        <v>#ERROR!</v>
      </c>
      <c r="AB113" s="50" t="str">
        <f t="shared" si="548"/>
        <v>#ERROR!</v>
      </c>
      <c r="AC113" s="48" t="str">
        <f t="shared" ref="AC113:AE113" si="549">IF($Y113=AC$3,"B","")</f>
        <v>#ERROR!</v>
      </c>
      <c r="AD113" s="49" t="str">
        <f t="shared" si="549"/>
        <v>#ERROR!</v>
      </c>
      <c r="AE113" s="50" t="str">
        <f t="shared" si="549"/>
        <v>#ERROR!</v>
      </c>
      <c r="AF113" s="48" t="str">
        <f t="shared" ref="AF113:AH113" si="550">IF($Y113=AF$3,"I","")</f>
        <v>#ERROR!</v>
      </c>
      <c r="AG113" s="49" t="str">
        <f t="shared" si="550"/>
        <v>#ERROR!</v>
      </c>
      <c r="AH113" s="50" t="str">
        <f t="shared" si="550"/>
        <v>#ERROR!</v>
      </c>
      <c r="AI113" s="48" t="str">
        <f t="shared" ref="AI113:AK113" si="551">IF($Y113=AI$3,"A","")</f>
        <v>#ERROR!</v>
      </c>
      <c r="AJ113" s="49" t="str">
        <f t="shared" si="551"/>
        <v>#ERROR!</v>
      </c>
      <c r="AK113" s="50" t="str">
        <f t="shared" si="551"/>
        <v>#ERROR!</v>
      </c>
      <c r="AL113" s="48" t="str">
        <f t="shared" ref="AL113:AN113" si="552">IF($Y113=AL$3,"M","")</f>
        <v>#ERROR!</v>
      </c>
      <c r="AM113" s="49" t="str">
        <f t="shared" si="552"/>
        <v>#ERROR!</v>
      </c>
      <c r="AN113" s="50" t="str">
        <f t="shared" si="552"/>
        <v>#ERROR!</v>
      </c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5" t="s">
        <v>26</v>
      </c>
      <c r="T114" s="26" t="s">
        <v>57</v>
      </c>
      <c r="U114" s="27" t="str">
        <f>VLOOKUP(T114,X4:Y136,2,FALSE)</f>
        <v>#ERROR!</v>
      </c>
      <c r="V114" s="13"/>
      <c r="W114" s="25" t="s">
        <v>52</v>
      </c>
      <c r="X114" s="26" t="s">
        <v>204</v>
      </c>
      <c r="Y114" s="27" t="str">
        <f>VLOOKUP(X114,[1]!Magic_Energies,2,FALSE)</f>
        <v>#ERROR!</v>
      </c>
      <c r="Z114" s="48" t="str">
        <f t="shared" ref="Z114:AB114" si="553">IF($Y114=Z$3,"S","")</f>
        <v>#ERROR!</v>
      </c>
      <c r="AA114" s="49" t="str">
        <f t="shared" si="553"/>
        <v>#ERROR!</v>
      </c>
      <c r="AB114" s="50" t="str">
        <f t="shared" si="553"/>
        <v>#ERROR!</v>
      </c>
      <c r="AC114" s="48" t="str">
        <f t="shared" ref="AC114:AE114" si="554">IF($Y114=AC$3,"B","")</f>
        <v>#ERROR!</v>
      </c>
      <c r="AD114" s="49" t="str">
        <f t="shared" si="554"/>
        <v>#ERROR!</v>
      </c>
      <c r="AE114" s="50" t="str">
        <f t="shared" si="554"/>
        <v>#ERROR!</v>
      </c>
      <c r="AF114" s="48" t="str">
        <f t="shared" ref="AF114:AH114" si="555">IF($Y114=AF$3,"I","")</f>
        <v>#ERROR!</v>
      </c>
      <c r="AG114" s="49" t="str">
        <f t="shared" si="555"/>
        <v>#ERROR!</v>
      </c>
      <c r="AH114" s="50" t="str">
        <f t="shared" si="555"/>
        <v>#ERROR!</v>
      </c>
      <c r="AI114" s="48" t="str">
        <f t="shared" ref="AI114:AK114" si="556">IF($Y114=AI$3,"A","")</f>
        <v>#ERROR!</v>
      </c>
      <c r="AJ114" s="49" t="str">
        <f t="shared" si="556"/>
        <v>#ERROR!</v>
      </c>
      <c r="AK114" s="50" t="str">
        <f t="shared" si="556"/>
        <v>#ERROR!</v>
      </c>
      <c r="AL114" s="48" t="str">
        <f t="shared" ref="AL114:AN114" si="557">IF($Y114=AL$3,"M","")</f>
        <v>#ERROR!</v>
      </c>
      <c r="AM114" s="49" t="str">
        <f t="shared" si="557"/>
        <v>#ERROR!</v>
      </c>
      <c r="AN114" s="50" t="str">
        <f t="shared" si="557"/>
        <v>#ERROR!</v>
      </c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5" t="s">
        <v>26</v>
      </c>
      <c r="T115" s="26" t="s">
        <v>112</v>
      </c>
      <c r="U115" s="27" t="str">
        <f>VLOOKUP(T115,X4:Y136,2,FALSE)</f>
        <v>#ERROR!</v>
      </c>
      <c r="V115" s="13"/>
      <c r="W115" s="25" t="s">
        <v>26</v>
      </c>
      <c r="X115" s="26" t="s">
        <v>208</v>
      </c>
      <c r="Y115" s="27" t="str">
        <f>VLOOKUP(X115,[1]!Magic_Energies,2,FALSE)</f>
        <v>#ERROR!</v>
      </c>
      <c r="Z115" s="48" t="str">
        <f t="shared" ref="Z115:AB115" si="558">IF($Y115=Z$3,"S","")</f>
        <v>#ERROR!</v>
      </c>
      <c r="AA115" s="49" t="str">
        <f t="shared" si="558"/>
        <v>#ERROR!</v>
      </c>
      <c r="AB115" s="50" t="str">
        <f t="shared" si="558"/>
        <v>#ERROR!</v>
      </c>
      <c r="AC115" s="48" t="str">
        <f t="shared" ref="AC115:AE115" si="559">IF($Y115=AC$3,"B","")</f>
        <v>#ERROR!</v>
      </c>
      <c r="AD115" s="49" t="str">
        <f t="shared" si="559"/>
        <v>#ERROR!</v>
      </c>
      <c r="AE115" s="50" t="str">
        <f t="shared" si="559"/>
        <v>#ERROR!</v>
      </c>
      <c r="AF115" s="48" t="str">
        <f t="shared" ref="AF115:AH115" si="560">IF($Y115=AF$3,"I","")</f>
        <v>#ERROR!</v>
      </c>
      <c r="AG115" s="49" t="str">
        <f t="shared" si="560"/>
        <v>#ERROR!</v>
      </c>
      <c r="AH115" s="50" t="str">
        <f t="shared" si="560"/>
        <v>#ERROR!</v>
      </c>
      <c r="AI115" s="48" t="str">
        <f t="shared" ref="AI115:AK115" si="561">IF($Y115=AI$3,"A","")</f>
        <v>#ERROR!</v>
      </c>
      <c r="AJ115" s="49" t="str">
        <f t="shared" si="561"/>
        <v>#ERROR!</v>
      </c>
      <c r="AK115" s="50" t="str">
        <f t="shared" si="561"/>
        <v>#ERROR!</v>
      </c>
      <c r="AL115" s="48" t="str">
        <f t="shared" ref="AL115:AN115" si="562">IF($Y115=AL$3,"M","")</f>
        <v>#ERROR!</v>
      </c>
      <c r="AM115" s="49" t="str">
        <f t="shared" si="562"/>
        <v>#ERROR!</v>
      </c>
      <c r="AN115" s="50" t="str">
        <f t="shared" si="562"/>
        <v>#ERROR!</v>
      </c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5" t="s">
        <v>26</v>
      </c>
      <c r="T116" s="26" t="s">
        <v>158</v>
      </c>
      <c r="U116" s="27" t="str">
        <f>VLOOKUP(T116,X4:Y136,2,FALSE)</f>
        <v>#ERROR!</v>
      </c>
      <c r="V116" s="13"/>
      <c r="W116" s="25" t="s">
        <v>18</v>
      </c>
      <c r="X116" s="26" t="s">
        <v>215</v>
      </c>
      <c r="Y116" s="27" t="str">
        <f>VLOOKUP(X116,[1]!Magic_Energies,2,FALSE)</f>
        <v>#ERROR!</v>
      </c>
      <c r="Z116" s="48" t="str">
        <f t="shared" ref="Z116:AB116" si="563">IF($Y116=Z$3,"S","")</f>
        <v>#ERROR!</v>
      </c>
      <c r="AA116" s="49" t="str">
        <f t="shared" si="563"/>
        <v>#ERROR!</v>
      </c>
      <c r="AB116" s="50" t="str">
        <f t="shared" si="563"/>
        <v>#ERROR!</v>
      </c>
      <c r="AC116" s="48" t="str">
        <f t="shared" ref="AC116:AE116" si="564">IF($Y116=AC$3,"B","")</f>
        <v>#ERROR!</v>
      </c>
      <c r="AD116" s="49" t="str">
        <f t="shared" si="564"/>
        <v>#ERROR!</v>
      </c>
      <c r="AE116" s="50" t="str">
        <f t="shared" si="564"/>
        <v>#ERROR!</v>
      </c>
      <c r="AF116" s="48" t="str">
        <f t="shared" ref="AF116:AH116" si="565">IF($Y116=AF$3,"I","")</f>
        <v>#ERROR!</v>
      </c>
      <c r="AG116" s="49" t="str">
        <f t="shared" si="565"/>
        <v>#ERROR!</v>
      </c>
      <c r="AH116" s="50" t="str">
        <f t="shared" si="565"/>
        <v>#ERROR!</v>
      </c>
      <c r="AI116" s="48" t="str">
        <f t="shared" ref="AI116:AK116" si="566">IF($Y116=AI$3,"A","")</f>
        <v>#ERROR!</v>
      </c>
      <c r="AJ116" s="49" t="str">
        <f t="shared" si="566"/>
        <v>#ERROR!</v>
      </c>
      <c r="AK116" s="50" t="str">
        <f t="shared" si="566"/>
        <v>#ERROR!</v>
      </c>
      <c r="AL116" s="48" t="str">
        <f t="shared" ref="AL116:AN116" si="567">IF($Y116=AL$3,"M","")</f>
        <v>#ERROR!</v>
      </c>
      <c r="AM116" s="49" t="str">
        <f t="shared" si="567"/>
        <v>#ERROR!</v>
      </c>
      <c r="AN116" s="50" t="str">
        <f t="shared" si="567"/>
        <v>#ERROR!</v>
      </c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5" t="s">
        <v>26</v>
      </c>
      <c r="T117" s="26" t="s">
        <v>181</v>
      </c>
      <c r="U117" s="27" t="str">
        <f>VLOOKUP(T117,X4:Y136,2,FALSE)</f>
        <v>#ERROR!</v>
      </c>
      <c r="V117" s="13"/>
      <c r="W117" s="25" t="s">
        <v>26</v>
      </c>
      <c r="X117" s="26" t="s">
        <v>216</v>
      </c>
      <c r="Y117" s="27" t="str">
        <f>VLOOKUP(X117,[1]!Magic_Energies,2,FALSE)</f>
        <v>#ERROR!</v>
      </c>
      <c r="Z117" s="48" t="str">
        <f t="shared" ref="Z117:AB117" si="568">IF($Y117=Z$3,"S","")</f>
        <v>#ERROR!</v>
      </c>
      <c r="AA117" s="49" t="str">
        <f t="shared" si="568"/>
        <v>#ERROR!</v>
      </c>
      <c r="AB117" s="50" t="str">
        <f t="shared" si="568"/>
        <v>#ERROR!</v>
      </c>
      <c r="AC117" s="48" t="str">
        <f t="shared" ref="AC117:AE117" si="569">IF($Y117=AC$3,"B","")</f>
        <v>#ERROR!</v>
      </c>
      <c r="AD117" s="49" t="str">
        <f t="shared" si="569"/>
        <v>#ERROR!</v>
      </c>
      <c r="AE117" s="50" t="str">
        <f t="shared" si="569"/>
        <v>#ERROR!</v>
      </c>
      <c r="AF117" s="48" t="str">
        <f t="shared" ref="AF117:AH117" si="570">IF($Y117=AF$3,"I","")</f>
        <v>#ERROR!</v>
      </c>
      <c r="AG117" s="49" t="str">
        <f t="shared" si="570"/>
        <v>#ERROR!</v>
      </c>
      <c r="AH117" s="50" t="str">
        <f t="shared" si="570"/>
        <v>#ERROR!</v>
      </c>
      <c r="AI117" s="48" t="str">
        <f t="shared" ref="AI117:AK117" si="571">IF($Y117=AI$3,"A","")</f>
        <v>#ERROR!</v>
      </c>
      <c r="AJ117" s="49" t="str">
        <f t="shared" si="571"/>
        <v>#ERROR!</v>
      </c>
      <c r="AK117" s="50" t="str">
        <f t="shared" si="571"/>
        <v>#ERROR!</v>
      </c>
      <c r="AL117" s="48" t="str">
        <f t="shared" ref="AL117:AN117" si="572">IF($Y117=AL$3,"M","")</f>
        <v>#ERROR!</v>
      </c>
      <c r="AM117" s="49" t="str">
        <f t="shared" si="572"/>
        <v>#ERROR!</v>
      </c>
      <c r="AN117" s="50" t="str">
        <f t="shared" si="572"/>
        <v>#ERROR!</v>
      </c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5" t="s">
        <v>26</v>
      </c>
      <c r="T118" s="26" t="s">
        <v>217</v>
      </c>
      <c r="U118" s="27" t="str">
        <f>VLOOKUP(T118,X4:Y136,2,FALSE)</f>
        <v>#ERROR!</v>
      </c>
      <c r="V118" s="13"/>
      <c r="W118" s="25" t="s">
        <v>26</v>
      </c>
      <c r="X118" s="26" t="s">
        <v>218</v>
      </c>
      <c r="Y118" s="27" t="str">
        <f>VLOOKUP(X118,[1]!Magic_Energies,2,FALSE)</f>
        <v>#ERROR!</v>
      </c>
      <c r="Z118" s="48" t="str">
        <f t="shared" ref="Z118:AB118" si="573">IF($Y118=Z$3,"S","")</f>
        <v>#ERROR!</v>
      </c>
      <c r="AA118" s="49" t="str">
        <f t="shared" si="573"/>
        <v>#ERROR!</v>
      </c>
      <c r="AB118" s="50" t="str">
        <f t="shared" si="573"/>
        <v>#ERROR!</v>
      </c>
      <c r="AC118" s="48" t="str">
        <f t="shared" ref="AC118:AE118" si="574">IF($Y118=AC$3,"B","")</f>
        <v>#ERROR!</v>
      </c>
      <c r="AD118" s="49" t="str">
        <f t="shared" si="574"/>
        <v>#ERROR!</v>
      </c>
      <c r="AE118" s="50" t="str">
        <f t="shared" si="574"/>
        <v>#ERROR!</v>
      </c>
      <c r="AF118" s="48" t="str">
        <f t="shared" ref="AF118:AH118" si="575">IF($Y118=AF$3,"I","")</f>
        <v>#ERROR!</v>
      </c>
      <c r="AG118" s="49" t="str">
        <f t="shared" si="575"/>
        <v>#ERROR!</v>
      </c>
      <c r="AH118" s="50" t="str">
        <f t="shared" si="575"/>
        <v>#ERROR!</v>
      </c>
      <c r="AI118" s="48" t="str">
        <f t="shared" ref="AI118:AK118" si="576">IF($Y118=AI$3,"A","")</f>
        <v>#ERROR!</v>
      </c>
      <c r="AJ118" s="49" t="str">
        <f t="shared" si="576"/>
        <v>#ERROR!</v>
      </c>
      <c r="AK118" s="50" t="str">
        <f t="shared" si="576"/>
        <v>#ERROR!</v>
      </c>
      <c r="AL118" s="48" t="str">
        <f t="shared" ref="AL118:AN118" si="577">IF($Y118=AL$3,"M","")</f>
        <v>#ERROR!</v>
      </c>
      <c r="AM118" s="49" t="str">
        <f t="shared" si="577"/>
        <v>#ERROR!</v>
      </c>
      <c r="AN118" s="50" t="str">
        <f t="shared" si="577"/>
        <v>#ERROR!</v>
      </c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5" t="s">
        <v>26</v>
      </c>
      <c r="T119" s="26" t="s">
        <v>191</v>
      </c>
      <c r="U119" s="27" t="str">
        <f>VLOOKUP(T119,X4:Y136,2,FALSE)</f>
        <v>#ERROR!</v>
      </c>
      <c r="V119" s="13"/>
      <c r="W119" s="25" t="s">
        <v>52</v>
      </c>
      <c r="X119" s="26" t="s">
        <v>101</v>
      </c>
      <c r="Y119" s="27" t="str">
        <f>VLOOKUP(X119,[1]!Magic_Energies,2,FALSE)</f>
        <v>#ERROR!</v>
      </c>
      <c r="Z119" s="48" t="str">
        <f t="shared" ref="Z119:AB119" si="578">IF($Y119=Z$3,"S","")</f>
        <v>#ERROR!</v>
      </c>
      <c r="AA119" s="49" t="str">
        <f t="shared" si="578"/>
        <v>#ERROR!</v>
      </c>
      <c r="AB119" s="50" t="str">
        <f t="shared" si="578"/>
        <v>#ERROR!</v>
      </c>
      <c r="AC119" s="48" t="str">
        <f t="shared" ref="AC119:AE119" si="579">IF($Y119=AC$3,"B","")</f>
        <v>#ERROR!</v>
      </c>
      <c r="AD119" s="49" t="str">
        <f t="shared" si="579"/>
        <v>#ERROR!</v>
      </c>
      <c r="AE119" s="50" t="str">
        <f t="shared" si="579"/>
        <v>#ERROR!</v>
      </c>
      <c r="AF119" s="48" t="str">
        <f t="shared" ref="AF119:AH119" si="580">IF($Y119=AF$3,"I","")</f>
        <v>#ERROR!</v>
      </c>
      <c r="AG119" s="49" t="str">
        <f t="shared" si="580"/>
        <v>#ERROR!</v>
      </c>
      <c r="AH119" s="50" t="str">
        <f t="shared" si="580"/>
        <v>#ERROR!</v>
      </c>
      <c r="AI119" s="48" t="str">
        <f t="shared" ref="AI119:AK119" si="581">IF($Y119=AI$3,"A","")</f>
        <v>#ERROR!</v>
      </c>
      <c r="AJ119" s="49" t="str">
        <f t="shared" si="581"/>
        <v>#ERROR!</v>
      </c>
      <c r="AK119" s="50" t="str">
        <f t="shared" si="581"/>
        <v>#ERROR!</v>
      </c>
      <c r="AL119" s="48" t="str">
        <f t="shared" ref="AL119:AN119" si="582">IF($Y119=AL$3,"M","")</f>
        <v>#ERROR!</v>
      </c>
      <c r="AM119" s="49" t="str">
        <f t="shared" si="582"/>
        <v>#ERROR!</v>
      </c>
      <c r="AN119" s="50" t="str">
        <f t="shared" si="582"/>
        <v>#ERROR!</v>
      </c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5" t="s">
        <v>26</v>
      </c>
      <c r="T120" s="26" t="s">
        <v>198</v>
      </c>
      <c r="U120" s="27" t="str">
        <f>VLOOKUP(T120,X4:Y136,2,FALSE)</f>
        <v>#ERROR!</v>
      </c>
      <c r="V120" s="13"/>
      <c r="W120" s="25" t="s">
        <v>26</v>
      </c>
      <c r="X120" s="26" t="s">
        <v>163</v>
      </c>
      <c r="Y120" s="27" t="str">
        <f>VLOOKUP(X120,[1]!Magic_Energies,2,FALSE)</f>
        <v>#ERROR!</v>
      </c>
      <c r="Z120" s="48" t="str">
        <f t="shared" ref="Z120:AB120" si="583">IF($Y120=Z$3,"S","")</f>
        <v>#ERROR!</v>
      </c>
      <c r="AA120" s="49" t="str">
        <f t="shared" si="583"/>
        <v>#ERROR!</v>
      </c>
      <c r="AB120" s="50" t="str">
        <f t="shared" si="583"/>
        <v>#ERROR!</v>
      </c>
      <c r="AC120" s="48" t="str">
        <f t="shared" ref="AC120:AE120" si="584">IF($Y120=AC$3,"B","")</f>
        <v>#ERROR!</v>
      </c>
      <c r="AD120" s="49" t="str">
        <f t="shared" si="584"/>
        <v>#ERROR!</v>
      </c>
      <c r="AE120" s="50" t="str">
        <f t="shared" si="584"/>
        <v>#ERROR!</v>
      </c>
      <c r="AF120" s="48" t="str">
        <f t="shared" ref="AF120:AH120" si="585">IF($Y120=AF$3,"I","")</f>
        <v>#ERROR!</v>
      </c>
      <c r="AG120" s="49" t="str">
        <f t="shared" si="585"/>
        <v>#ERROR!</v>
      </c>
      <c r="AH120" s="50" t="str">
        <f t="shared" si="585"/>
        <v>#ERROR!</v>
      </c>
      <c r="AI120" s="48" t="str">
        <f t="shared" ref="AI120:AK120" si="586">IF($Y120=AI$3,"A","")</f>
        <v>#ERROR!</v>
      </c>
      <c r="AJ120" s="49" t="str">
        <f t="shared" si="586"/>
        <v>#ERROR!</v>
      </c>
      <c r="AK120" s="50" t="str">
        <f t="shared" si="586"/>
        <v>#ERROR!</v>
      </c>
      <c r="AL120" s="48" t="str">
        <f t="shared" ref="AL120:AN120" si="587">IF($Y120=AL$3,"M","")</f>
        <v>#ERROR!</v>
      </c>
      <c r="AM120" s="49" t="str">
        <f t="shared" si="587"/>
        <v>#ERROR!</v>
      </c>
      <c r="AN120" s="50" t="str">
        <f t="shared" si="587"/>
        <v>#ERROR!</v>
      </c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5" t="s">
        <v>26</v>
      </c>
      <c r="T121" s="26" t="s">
        <v>209</v>
      </c>
      <c r="U121" s="27" t="str">
        <f>VLOOKUP(T121,X4:Y136,2,FALSE)</f>
        <v>#ERROR!</v>
      </c>
      <c r="V121" s="13"/>
      <c r="W121" s="25" t="s">
        <v>26</v>
      </c>
      <c r="X121" s="26" t="s">
        <v>180</v>
      </c>
      <c r="Y121" s="27" t="str">
        <f>VLOOKUP(X121,[1]!Magic_Energies,2,FALSE)</f>
        <v>#ERROR!</v>
      </c>
      <c r="Z121" s="48" t="str">
        <f t="shared" ref="Z121:AB121" si="588">IF($Y121=Z$3,"S","")</f>
        <v>#ERROR!</v>
      </c>
      <c r="AA121" s="49" t="str">
        <f t="shared" si="588"/>
        <v>#ERROR!</v>
      </c>
      <c r="AB121" s="50" t="str">
        <f t="shared" si="588"/>
        <v>#ERROR!</v>
      </c>
      <c r="AC121" s="48" t="str">
        <f t="shared" ref="AC121:AE121" si="589">IF($Y121=AC$3,"B","")</f>
        <v>#ERROR!</v>
      </c>
      <c r="AD121" s="49" t="str">
        <f t="shared" si="589"/>
        <v>#ERROR!</v>
      </c>
      <c r="AE121" s="50" t="str">
        <f t="shared" si="589"/>
        <v>#ERROR!</v>
      </c>
      <c r="AF121" s="48" t="str">
        <f t="shared" ref="AF121:AH121" si="590">IF($Y121=AF$3,"I","")</f>
        <v>#ERROR!</v>
      </c>
      <c r="AG121" s="49" t="str">
        <f t="shared" si="590"/>
        <v>#ERROR!</v>
      </c>
      <c r="AH121" s="50" t="str">
        <f t="shared" si="590"/>
        <v>#ERROR!</v>
      </c>
      <c r="AI121" s="48" t="str">
        <f t="shared" ref="AI121:AK121" si="591">IF($Y121=AI$3,"A","")</f>
        <v>#ERROR!</v>
      </c>
      <c r="AJ121" s="49" t="str">
        <f t="shared" si="591"/>
        <v>#ERROR!</v>
      </c>
      <c r="AK121" s="50" t="str">
        <f t="shared" si="591"/>
        <v>#ERROR!</v>
      </c>
      <c r="AL121" s="48" t="str">
        <f t="shared" ref="AL121:AN121" si="592">IF($Y121=AL$3,"M","")</f>
        <v>#ERROR!</v>
      </c>
      <c r="AM121" s="49" t="str">
        <f t="shared" si="592"/>
        <v>#ERROR!</v>
      </c>
      <c r="AN121" s="50" t="str">
        <f t="shared" si="592"/>
        <v>#ERROR!</v>
      </c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5" t="s">
        <v>26</v>
      </c>
      <c r="T122" s="26" t="s">
        <v>216</v>
      </c>
      <c r="U122" s="27" t="str">
        <f>VLOOKUP(T122,X4:Y136,2,FALSE)</f>
        <v>#ERROR!</v>
      </c>
      <c r="V122" s="13"/>
      <c r="W122" s="25" t="s">
        <v>52</v>
      </c>
      <c r="X122" s="26" t="s">
        <v>182</v>
      </c>
      <c r="Y122" s="27" t="str">
        <f>VLOOKUP(X122,[1]!Magic_Energies,2,FALSE)</f>
        <v>#ERROR!</v>
      </c>
      <c r="Z122" s="48" t="str">
        <f t="shared" ref="Z122:AB122" si="593">IF($Y122=Z$3,"S","")</f>
        <v>#ERROR!</v>
      </c>
      <c r="AA122" s="49" t="str">
        <f t="shared" si="593"/>
        <v>#ERROR!</v>
      </c>
      <c r="AB122" s="50" t="str">
        <f t="shared" si="593"/>
        <v>#ERROR!</v>
      </c>
      <c r="AC122" s="48" t="str">
        <f t="shared" ref="AC122:AE122" si="594">IF($Y122=AC$3,"B","")</f>
        <v>#ERROR!</v>
      </c>
      <c r="AD122" s="49" t="str">
        <f t="shared" si="594"/>
        <v>#ERROR!</v>
      </c>
      <c r="AE122" s="50" t="str">
        <f t="shared" si="594"/>
        <v>#ERROR!</v>
      </c>
      <c r="AF122" s="48" t="str">
        <f t="shared" ref="AF122:AH122" si="595">IF($Y122=AF$3,"I","")</f>
        <v>#ERROR!</v>
      </c>
      <c r="AG122" s="49" t="str">
        <f t="shared" si="595"/>
        <v>#ERROR!</v>
      </c>
      <c r="AH122" s="50" t="str">
        <f t="shared" si="595"/>
        <v>#ERROR!</v>
      </c>
      <c r="AI122" s="48" t="str">
        <f t="shared" ref="AI122:AK122" si="596">IF($Y122=AI$3,"A","")</f>
        <v>#ERROR!</v>
      </c>
      <c r="AJ122" s="49" t="str">
        <f t="shared" si="596"/>
        <v>#ERROR!</v>
      </c>
      <c r="AK122" s="50" t="str">
        <f t="shared" si="596"/>
        <v>#ERROR!</v>
      </c>
      <c r="AL122" s="48" t="str">
        <f t="shared" ref="AL122:AN122" si="597">IF($Y122=AL$3,"M","")</f>
        <v>#ERROR!</v>
      </c>
      <c r="AM122" s="49" t="str">
        <f t="shared" si="597"/>
        <v>#ERROR!</v>
      </c>
      <c r="AN122" s="50" t="str">
        <f t="shared" si="597"/>
        <v>#ERROR!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5" t="s">
        <v>26</v>
      </c>
      <c r="T123" s="26" t="s">
        <v>116</v>
      </c>
      <c r="U123" s="27" t="str">
        <f>VLOOKUP(T123,X4:Y136,2,FALSE)</f>
        <v>#ERROR!</v>
      </c>
      <c r="V123" s="13"/>
      <c r="W123" s="25" t="s">
        <v>26</v>
      </c>
      <c r="X123" s="26" t="s">
        <v>194</v>
      </c>
      <c r="Y123" s="27" t="str">
        <f>VLOOKUP(X123,[1]!Magic_Energies,2,FALSE)</f>
        <v>#ERROR!</v>
      </c>
      <c r="Z123" s="48" t="str">
        <f t="shared" ref="Z123:AB123" si="598">IF($Y123=Z$3,"S","")</f>
        <v>#ERROR!</v>
      </c>
      <c r="AA123" s="49" t="str">
        <f t="shared" si="598"/>
        <v>#ERROR!</v>
      </c>
      <c r="AB123" s="50" t="str">
        <f t="shared" si="598"/>
        <v>#ERROR!</v>
      </c>
      <c r="AC123" s="48" t="str">
        <f t="shared" ref="AC123:AE123" si="599">IF($Y123=AC$3,"B","")</f>
        <v>#ERROR!</v>
      </c>
      <c r="AD123" s="49" t="str">
        <f t="shared" si="599"/>
        <v>#ERROR!</v>
      </c>
      <c r="AE123" s="50" t="str">
        <f t="shared" si="599"/>
        <v>#ERROR!</v>
      </c>
      <c r="AF123" s="48" t="str">
        <f t="shared" ref="AF123:AH123" si="600">IF($Y123=AF$3,"I","")</f>
        <v>#ERROR!</v>
      </c>
      <c r="AG123" s="49" t="str">
        <f t="shared" si="600"/>
        <v>#ERROR!</v>
      </c>
      <c r="AH123" s="50" t="str">
        <f t="shared" si="600"/>
        <v>#ERROR!</v>
      </c>
      <c r="AI123" s="48" t="str">
        <f t="shared" ref="AI123:AK123" si="601">IF($Y123=AI$3,"A","")</f>
        <v>#ERROR!</v>
      </c>
      <c r="AJ123" s="49" t="str">
        <f t="shared" si="601"/>
        <v>#ERROR!</v>
      </c>
      <c r="AK123" s="50" t="str">
        <f t="shared" si="601"/>
        <v>#ERROR!</v>
      </c>
      <c r="AL123" s="48" t="str">
        <f t="shared" ref="AL123:AN123" si="602">IF($Y123=AL$3,"M","")</f>
        <v>#ERROR!</v>
      </c>
      <c r="AM123" s="49" t="str">
        <f t="shared" si="602"/>
        <v>#ERROR!</v>
      </c>
      <c r="AN123" s="50" t="str">
        <f t="shared" si="602"/>
        <v>#ERROR!</v>
      </c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5" t="s">
        <v>26</v>
      </c>
      <c r="T124" s="26" t="s">
        <v>159</v>
      </c>
      <c r="U124" s="27" t="str">
        <f>VLOOKUP(T124,X4:Y136,2,FALSE)</f>
        <v>#ERROR!</v>
      </c>
      <c r="V124" s="13"/>
      <c r="W124" s="25" t="s">
        <v>26</v>
      </c>
      <c r="X124" s="26" t="s">
        <v>201</v>
      </c>
      <c r="Y124" s="27" t="str">
        <f>VLOOKUP(X124,[1]!Magic_Energies,2,FALSE)</f>
        <v>#ERROR!</v>
      </c>
      <c r="Z124" s="48" t="str">
        <f t="shared" ref="Z124:AB124" si="603">IF($Y124=Z$3,"S","")</f>
        <v>#ERROR!</v>
      </c>
      <c r="AA124" s="49" t="str">
        <f t="shared" si="603"/>
        <v>#ERROR!</v>
      </c>
      <c r="AB124" s="50" t="str">
        <f t="shared" si="603"/>
        <v>#ERROR!</v>
      </c>
      <c r="AC124" s="48" t="str">
        <f t="shared" ref="AC124:AE124" si="604">IF($Y124=AC$3,"B","")</f>
        <v>#ERROR!</v>
      </c>
      <c r="AD124" s="49" t="str">
        <f t="shared" si="604"/>
        <v>#ERROR!</v>
      </c>
      <c r="AE124" s="50" t="str">
        <f t="shared" si="604"/>
        <v>#ERROR!</v>
      </c>
      <c r="AF124" s="48" t="str">
        <f t="shared" ref="AF124:AH124" si="605">IF($Y124=AF$3,"I","")</f>
        <v>#ERROR!</v>
      </c>
      <c r="AG124" s="49" t="str">
        <f t="shared" si="605"/>
        <v>#ERROR!</v>
      </c>
      <c r="AH124" s="50" t="str">
        <f t="shared" si="605"/>
        <v>#ERROR!</v>
      </c>
      <c r="AI124" s="48" t="str">
        <f t="shared" ref="AI124:AK124" si="606">IF($Y124=AI$3,"A","")</f>
        <v>#ERROR!</v>
      </c>
      <c r="AJ124" s="49" t="str">
        <f t="shared" si="606"/>
        <v>#ERROR!</v>
      </c>
      <c r="AK124" s="50" t="str">
        <f t="shared" si="606"/>
        <v>#ERROR!</v>
      </c>
      <c r="AL124" s="48" t="str">
        <f t="shared" ref="AL124:AN124" si="607">IF($Y124=AL$3,"M","")</f>
        <v>#ERROR!</v>
      </c>
      <c r="AM124" s="49" t="str">
        <f t="shared" si="607"/>
        <v>#ERROR!</v>
      </c>
      <c r="AN124" s="50" t="str">
        <f t="shared" si="607"/>
        <v>#ERROR!</v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5" t="s">
        <v>26</v>
      </c>
      <c r="T125" s="26" t="s">
        <v>183</v>
      </c>
      <c r="U125" s="27" t="str">
        <f>VLOOKUP(T125,X4:Y136,2,FALSE)</f>
        <v>#ERROR!</v>
      </c>
      <c r="V125" s="13"/>
      <c r="W125" s="25" t="s">
        <v>26</v>
      </c>
      <c r="X125" s="26" t="s">
        <v>212</v>
      </c>
      <c r="Y125" s="27" t="str">
        <f>VLOOKUP(X125,[1]!Magic_Energies,2,FALSE)</f>
        <v>#ERROR!</v>
      </c>
      <c r="Z125" s="48" t="str">
        <f t="shared" ref="Z125:AB125" si="608">IF($Y125=Z$3,"S","")</f>
        <v>#ERROR!</v>
      </c>
      <c r="AA125" s="49" t="str">
        <f t="shared" si="608"/>
        <v>#ERROR!</v>
      </c>
      <c r="AB125" s="50" t="str">
        <f t="shared" si="608"/>
        <v>#ERROR!</v>
      </c>
      <c r="AC125" s="48" t="str">
        <f t="shared" ref="AC125:AE125" si="609">IF($Y125=AC$3,"B","")</f>
        <v>#ERROR!</v>
      </c>
      <c r="AD125" s="49" t="str">
        <f t="shared" si="609"/>
        <v>#ERROR!</v>
      </c>
      <c r="AE125" s="50" t="str">
        <f t="shared" si="609"/>
        <v>#ERROR!</v>
      </c>
      <c r="AF125" s="48" t="str">
        <f t="shared" ref="AF125:AH125" si="610">IF($Y125=AF$3,"I","")</f>
        <v>#ERROR!</v>
      </c>
      <c r="AG125" s="49" t="str">
        <f t="shared" si="610"/>
        <v>#ERROR!</v>
      </c>
      <c r="AH125" s="50" t="str">
        <f t="shared" si="610"/>
        <v>#ERROR!</v>
      </c>
      <c r="AI125" s="48" t="str">
        <f t="shared" ref="AI125:AK125" si="611">IF($Y125=AI$3,"A","")</f>
        <v>#ERROR!</v>
      </c>
      <c r="AJ125" s="49" t="str">
        <f t="shared" si="611"/>
        <v>#ERROR!</v>
      </c>
      <c r="AK125" s="50" t="str">
        <f t="shared" si="611"/>
        <v>#ERROR!</v>
      </c>
      <c r="AL125" s="48" t="str">
        <f t="shared" ref="AL125:AN125" si="612">IF($Y125=AL$3,"M","")</f>
        <v>#ERROR!</v>
      </c>
      <c r="AM125" s="49" t="str">
        <f t="shared" si="612"/>
        <v>#ERROR!</v>
      </c>
      <c r="AN125" s="50" t="str">
        <f t="shared" si="612"/>
        <v>#ERROR!</v>
      </c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5" t="s">
        <v>26</v>
      </c>
      <c r="T126" s="26" t="s">
        <v>199</v>
      </c>
      <c r="U126" s="27" t="str">
        <f>VLOOKUP(T126,X4:Y136,2,FALSE)</f>
        <v>#ERROR!</v>
      </c>
      <c r="V126" s="13"/>
      <c r="W126" s="25" t="s">
        <v>26</v>
      </c>
      <c r="X126" s="26" t="s">
        <v>213</v>
      </c>
      <c r="Y126" s="27" t="str">
        <f>VLOOKUP(X126,[1]!Magic_Energies,2,FALSE)</f>
        <v>#ERROR!</v>
      </c>
      <c r="Z126" s="48" t="str">
        <f t="shared" ref="Z126:AB126" si="613">IF($Y126=Z$3,"S","")</f>
        <v>#ERROR!</v>
      </c>
      <c r="AA126" s="49" t="str">
        <f t="shared" si="613"/>
        <v>#ERROR!</v>
      </c>
      <c r="AB126" s="50" t="str">
        <f t="shared" si="613"/>
        <v>#ERROR!</v>
      </c>
      <c r="AC126" s="48" t="str">
        <f t="shared" ref="AC126:AE126" si="614">IF($Y126=AC$3,"B","")</f>
        <v>#ERROR!</v>
      </c>
      <c r="AD126" s="49" t="str">
        <f t="shared" si="614"/>
        <v>#ERROR!</v>
      </c>
      <c r="AE126" s="50" t="str">
        <f t="shared" si="614"/>
        <v>#ERROR!</v>
      </c>
      <c r="AF126" s="48" t="str">
        <f t="shared" ref="AF126:AH126" si="615">IF($Y126=AF$3,"I","")</f>
        <v>#ERROR!</v>
      </c>
      <c r="AG126" s="49" t="str">
        <f t="shared" si="615"/>
        <v>#ERROR!</v>
      </c>
      <c r="AH126" s="50" t="str">
        <f t="shared" si="615"/>
        <v>#ERROR!</v>
      </c>
      <c r="AI126" s="48" t="str">
        <f t="shared" ref="AI126:AK126" si="616">IF($Y126=AI$3,"A","")</f>
        <v>#ERROR!</v>
      </c>
      <c r="AJ126" s="49" t="str">
        <f t="shared" si="616"/>
        <v>#ERROR!</v>
      </c>
      <c r="AK126" s="50" t="str">
        <f t="shared" si="616"/>
        <v>#ERROR!</v>
      </c>
      <c r="AL126" s="48" t="str">
        <f t="shared" ref="AL126:AN126" si="617">IF($Y126=AL$3,"M","")</f>
        <v>#ERROR!</v>
      </c>
      <c r="AM126" s="49" t="str">
        <f t="shared" si="617"/>
        <v>#ERROR!</v>
      </c>
      <c r="AN126" s="50" t="str">
        <f t="shared" si="617"/>
        <v>#ERROR!</v>
      </c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5" t="s">
        <v>26</v>
      </c>
      <c r="T127" s="26" t="s">
        <v>210</v>
      </c>
      <c r="U127" s="27" t="str">
        <f>VLOOKUP(T127,X4:Y136,2,FALSE)</f>
        <v>#ERROR!</v>
      </c>
      <c r="V127" s="13"/>
      <c r="W127" s="25" t="s">
        <v>26</v>
      </c>
      <c r="X127" s="78" t="s">
        <v>219</v>
      </c>
      <c r="Y127" s="27" t="str">
        <f>VLOOKUP(X127,[1]!Magic_Energies,2,FALSE)</f>
        <v>#ERROR!</v>
      </c>
      <c r="Z127" s="48" t="str">
        <f t="shared" ref="Z127:AB127" si="618">IF($Y127=Z$3,"S","")</f>
        <v>#ERROR!</v>
      </c>
      <c r="AA127" s="49" t="str">
        <f t="shared" si="618"/>
        <v>#ERROR!</v>
      </c>
      <c r="AB127" s="50" t="str">
        <f t="shared" si="618"/>
        <v>#ERROR!</v>
      </c>
      <c r="AC127" s="48" t="str">
        <f t="shared" ref="AC127:AE127" si="619">IF($Y127=AC$3,"B","")</f>
        <v>#ERROR!</v>
      </c>
      <c r="AD127" s="49" t="str">
        <f t="shared" si="619"/>
        <v>#ERROR!</v>
      </c>
      <c r="AE127" s="50" t="str">
        <f t="shared" si="619"/>
        <v>#ERROR!</v>
      </c>
      <c r="AF127" s="48" t="str">
        <f t="shared" ref="AF127:AH127" si="620">IF($Y127=AF$3,"I","")</f>
        <v>#ERROR!</v>
      </c>
      <c r="AG127" s="49" t="str">
        <f t="shared" si="620"/>
        <v>#ERROR!</v>
      </c>
      <c r="AH127" s="50" t="str">
        <f t="shared" si="620"/>
        <v>#ERROR!</v>
      </c>
      <c r="AI127" s="48" t="str">
        <f t="shared" ref="AI127:AK127" si="621">IF($Y127=AI$3,"A","")</f>
        <v>#ERROR!</v>
      </c>
      <c r="AJ127" s="49" t="str">
        <f t="shared" si="621"/>
        <v>#ERROR!</v>
      </c>
      <c r="AK127" s="50" t="str">
        <f t="shared" si="621"/>
        <v>#ERROR!</v>
      </c>
      <c r="AL127" s="48" t="str">
        <f t="shared" ref="AL127:AN127" si="622">IF($Y127=AL$3,"M","")</f>
        <v>#ERROR!</v>
      </c>
      <c r="AM127" s="49" t="str">
        <f t="shared" si="622"/>
        <v>#ERROR!</v>
      </c>
      <c r="AN127" s="50" t="str">
        <f t="shared" si="622"/>
        <v>#ERROR!</v>
      </c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5" t="s">
        <v>26</v>
      </c>
      <c r="T128" s="26" t="s">
        <v>218</v>
      </c>
      <c r="U128" s="27" t="str">
        <f>VLOOKUP(T128,X4:Y136,2,FALSE)</f>
        <v>#ERROR!</v>
      </c>
      <c r="V128" s="13"/>
      <c r="W128" s="25" t="s">
        <v>26</v>
      </c>
      <c r="X128" s="26" t="s">
        <v>47</v>
      </c>
      <c r="Y128" s="27" t="str">
        <f>VLOOKUP(X128,[1]!Magic_Energies,2,FALSE)</f>
        <v>#ERROR!</v>
      </c>
      <c r="Z128" s="48" t="str">
        <f t="shared" ref="Z128:AB128" si="623">IF($Y128=Z$3,"S","")</f>
        <v>#ERROR!</v>
      </c>
      <c r="AA128" s="49" t="str">
        <f t="shared" si="623"/>
        <v>#ERROR!</v>
      </c>
      <c r="AB128" s="50" t="str">
        <f t="shared" si="623"/>
        <v>#ERROR!</v>
      </c>
      <c r="AC128" s="48" t="str">
        <f t="shared" ref="AC128:AE128" si="624">IF($Y128=AC$3,"B","")</f>
        <v>#ERROR!</v>
      </c>
      <c r="AD128" s="49" t="str">
        <f t="shared" si="624"/>
        <v>#ERROR!</v>
      </c>
      <c r="AE128" s="50" t="str">
        <f t="shared" si="624"/>
        <v>#ERROR!</v>
      </c>
      <c r="AF128" s="48" t="str">
        <f t="shared" ref="AF128:AH128" si="625">IF($Y128=AF$3,"I","")</f>
        <v>#ERROR!</v>
      </c>
      <c r="AG128" s="49" t="str">
        <f t="shared" si="625"/>
        <v>#ERROR!</v>
      </c>
      <c r="AH128" s="50" t="str">
        <f t="shared" si="625"/>
        <v>#ERROR!</v>
      </c>
      <c r="AI128" s="48" t="str">
        <f t="shared" ref="AI128:AK128" si="626">IF($Y128=AI$3,"A","")</f>
        <v>#ERROR!</v>
      </c>
      <c r="AJ128" s="49" t="str">
        <f t="shared" si="626"/>
        <v>#ERROR!</v>
      </c>
      <c r="AK128" s="50" t="str">
        <f t="shared" si="626"/>
        <v>#ERROR!</v>
      </c>
      <c r="AL128" s="48" t="str">
        <f t="shared" ref="AL128:AN128" si="627">IF($Y128=AL$3,"M","")</f>
        <v>#ERROR!</v>
      </c>
      <c r="AM128" s="49" t="str">
        <f t="shared" si="627"/>
        <v>#ERROR!</v>
      </c>
      <c r="AN128" s="50" t="str">
        <f t="shared" si="627"/>
        <v>#ERROR!</v>
      </c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5" t="s">
        <v>26</v>
      </c>
      <c r="T129" s="26" t="s">
        <v>220</v>
      </c>
      <c r="U129" s="27" t="str">
        <f>VLOOKUP(T129,X4:Y136,2,FALSE)</f>
        <v>#ERROR!</v>
      </c>
      <c r="V129" s="13"/>
      <c r="W129" s="25" t="s">
        <v>26</v>
      </c>
      <c r="X129" s="26" t="s">
        <v>67</v>
      </c>
      <c r="Y129" s="27" t="str">
        <f>VLOOKUP(X129,[1]!Magic_Energies,2,FALSE)</f>
        <v>#ERROR!</v>
      </c>
      <c r="Z129" s="48" t="str">
        <f t="shared" ref="Z129:AB129" si="628">IF($Y129=Z$3,"S","")</f>
        <v>#ERROR!</v>
      </c>
      <c r="AA129" s="49" t="str">
        <f t="shared" si="628"/>
        <v>#ERROR!</v>
      </c>
      <c r="AB129" s="50" t="str">
        <f t="shared" si="628"/>
        <v>#ERROR!</v>
      </c>
      <c r="AC129" s="48" t="str">
        <f t="shared" ref="AC129:AE129" si="629">IF($Y129=AC$3,"B","")</f>
        <v>#ERROR!</v>
      </c>
      <c r="AD129" s="49" t="str">
        <f t="shared" si="629"/>
        <v>#ERROR!</v>
      </c>
      <c r="AE129" s="50" t="str">
        <f t="shared" si="629"/>
        <v>#ERROR!</v>
      </c>
      <c r="AF129" s="48" t="str">
        <f t="shared" ref="AF129:AH129" si="630">IF($Y129=AF$3,"I","")</f>
        <v>#ERROR!</v>
      </c>
      <c r="AG129" s="49" t="str">
        <f t="shared" si="630"/>
        <v>#ERROR!</v>
      </c>
      <c r="AH129" s="50" t="str">
        <f t="shared" si="630"/>
        <v>#ERROR!</v>
      </c>
      <c r="AI129" s="48" t="str">
        <f t="shared" ref="AI129:AK129" si="631">IF($Y129=AI$3,"A","")</f>
        <v>#ERROR!</v>
      </c>
      <c r="AJ129" s="49" t="str">
        <f t="shared" si="631"/>
        <v>#ERROR!</v>
      </c>
      <c r="AK129" s="50" t="str">
        <f t="shared" si="631"/>
        <v>#ERROR!</v>
      </c>
      <c r="AL129" s="48" t="str">
        <f t="shared" ref="AL129:AN129" si="632">IF($Y129=AL$3,"M","")</f>
        <v>#ERROR!</v>
      </c>
      <c r="AM129" s="49" t="str">
        <f t="shared" si="632"/>
        <v>#ERROR!</v>
      </c>
      <c r="AN129" s="50" t="str">
        <f t="shared" si="632"/>
        <v>#ERROR!</v>
      </c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5" t="s">
        <v>26</v>
      </c>
      <c r="T130" s="26" t="s">
        <v>90</v>
      </c>
      <c r="U130" s="27" t="str">
        <f>VLOOKUP(T130,X4:Y136,2,FALSE)</f>
        <v>#ERROR!</v>
      </c>
      <c r="V130" s="13"/>
      <c r="W130" s="25" t="s">
        <v>18</v>
      </c>
      <c r="X130" s="26" t="s">
        <v>81</v>
      </c>
      <c r="Y130" s="27" t="str">
        <f>VLOOKUP(X130,[1]!Magic_Energies,2,FALSE)</f>
        <v>#ERROR!</v>
      </c>
      <c r="Z130" s="48" t="str">
        <f t="shared" ref="Z130:AB130" si="633">IF($Y130=Z$3,"S","")</f>
        <v>#ERROR!</v>
      </c>
      <c r="AA130" s="49" t="str">
        <f t="shared" si="633"/>
        <v>#ERROR!</v>
      </c>
      <c r="AB130" s="50" t="str">
        <f t="shared" si="633"/>
        <v>#ERROR!</v>
      </c>
      <c r="AC130" s="48" t="str">
        <f t="shared" ref="AC130:AE130" si="634">IF($Y130=AC$3,"B","")</f>
        <v>#ERROR!</v>
      </c>
      <c r="AD130" s="49" t="str">
        <f t="shared" si="634"/>
        <v>#ERROR!</v>
      </c>
      <c r="AE130" s="50" t="str">
        <f t="shared" si="634"/>
        <v>#ERROR!</v>
      </c>
      <c r="AF130" s="48" t="str">
        <f t="shared" ref="AF130:AH130" si="635">IF($Y130=AF$3,"I","")</f>
        <v>#ERROR!</v>
      </c>
      <c r="AG130" s="49" t="str">
        <f t="shared" si="635"/>
        <v>#ERROR!</v>
      </c>
      <c r="AH130" s="50" t="str">
        <f t="shared" si="635"/>
        <v>#ERROR!</v>
      </c>
      <c r="AI130" s="48" t="str">
        <f t="shared" ref="AI130:AK130" si="636">IF($Y130=AI$3,"A","")</f>
        <v>#ERROR!</v>
      </c>
      <c r="AJ130" s="49" t="str">
        <f t="shared" si="636"/>
        <v>#ERROR!</v>
      </c>
      <c r="AK130" s="50" t="str">
        <f t="shared" si="636"/>
        <v>#ERROR!</v>
      </c>
      <c r="AL130" s="48" t="str">
        <f t="shared" ref="AL130:AN130" si="637">IF($Y130=AL$3,"M","")</f>
        <v>#ERROR!</v>
      </c>
      <c r="AM130" s="49" t="str">
        <f t="shared" si="637"/>
        <v>#ERROR!</v>
      </c>
      <c r="AN130" s="50" t="str">
        <f t="shared" si="637"/>
        <v>#ERROR!</v>
      </c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5" t="s">
        <v>26</v>
      </c>
      <c r="T131" s="26" t="s">
        <v>161</v>
      </c>
      <c r="U131" s="27" t="str">
        <f>VLOOKUP(T131,X4:Y136,2,FALSE)</f>
        <v>#ERROR!</v>
      </c>
      <c r="V131" s="13"/>
      <c r="W131" s="25" t="s">
        <v>26</v>
      </c>
      <c r="X131" s="26" t="s">
        <v>146</v>
      </c>
      <c r="Y131" s="27" t="str">
        <f>VLOOKUP(X131,[1]!Magic_Energies,2,FALSE)</f>
        <v>#ERROR!</v>
      </c>
      <c r="Z131" s="48" t="str">
        <f t="shared" ref="Z131:AB131" si="638">IF($Y131=Z$3,"S","")</f>
        <v>#ERROR!</v>
      </c>
      <c r="AA131" s="49" t="str">
        <f t="shared" si="638"/>
        <v>#ERROR!</v>
      </c>
      <c r="AB131" s="50" t="str">
        <f t="shared" si="638"/>
        <v>#ERROR!</v>
      </c>
      <c r="AC131" s="48" t="str">
        <f t="shared" ref="AC131:AE131" si="639">IF($Y131=AC$3,"B","")</f>
        <v>#ERROR!</v>
      </c>
      <c r="AD131" s="49" t="str">
        <f t="shared" si="639"/>
        <v>#ERROR!</v>
      </c>
      <c r="AE131" s="50" t="str">
        <f t="shared" si="639"/>
        <v>#ERROR!</v>
      </c>
      <c r="AF131" s="48" t="str">
        <f t="shared" ref="AF131:AH131" si="640">IF($Y131=AF$3,"I","")</f>
        <v>#ERROR!</v>
      </c>
      <c r="AG131" s="49" t="str">
        <f t="shared" si="640"/>
        <v>#ERROR!</v>
      </c>
      <c r="AH131" s="50" t="str">
        <f t="shared" si="640"/>
        <v>#ERROR!</v>
      </c>
      <c r="AI131" s="48" t="str">
        <f t="shared" ref="AI131:AK131" si="641">IF($Y131=AI$3,"A","")</f>
        <v>#ERROR!</v>
      </c>
      <c r="AJ131" s="49" t="str">
        <f t="shared" si="641"/>
        <v>#ERROR!</v>
      </c>
      <c r="AK131" s="50" t="str">
        <f t="shared" si="641"/>
        <v>#ERROR!</v>
      </c>
      <c r="AL131" s="48" t="str">
        <f t="shared" ref="AL131:AN131" si="642">IF($Y131=AL$3,"M","")</f>
        <v>#ERROR!</v>
      </c>
      <c r="AM131" s="49" t="str">
        <f t="shared" si="642"/>
        <v>#ERROR!</v>
      </c>
      <c r="AN131" s="50" t="str">
        <f t="shared" si="642"/>
        <v>#ERROR!</v>
      </c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5" t="s">
        <v>26</v>
      </c>
      <c r="T132" s="26" t="s">
        <v>192</v>
      </c>
      <c r="U132" s="27" t="str">
        <f>VLOOKUP(T132,X4:Y136,2,FALSE)</f>
        <v>#ERROR!</v>
      </c>
      <c r="V132" s="13"/>
      <c r="W132" s="25" t="s">
        <v>26</v>
      </c>
      <c r="X132" s="26" t="s">
        <v>169</v>
      </c>
      <c r="Y132" s="27" t="str">
        <f>VLOOKUP(X132,[1]!Magic_Energies,2,FALSE)</f>
        <v>#ERROR!</v>
      </c>
      <c r="Z132" s="48" t="str">
        <f t="shared" ref="Z132:AB132" si="643">IF($Y132=Z$3,"S","")</f>
        <v>#ERROR!</v>
      </c>
      <c r="AA132" s="49" t="str">
        <f t="shared" si="643"/>
        <v>#ERROR!</v>
      </c>
      <c r="AB132" s="50" t="str">
        <f t="shared" si="643"/>
        <v>#ERROR!</v>
      </c>
      <c r="AC132" s="48" t="str">
        <f t="shared" ref="AC132:AE132" si="644">IF($Y132=AC$3,"B","")</f>
        <v>#ERROR!</v>
      </c>
      <c r="AD132" s="49" t="str">
        <f t="shared" si="644"/>
        <v>#ERROR!</v>
      </c>
      <c r="AE132" s="50" t="str">
        <f t="shared" si="644"/>
        <v>#ERROR!</v>
      </c>
      <c r="AF132" s="48" t="str">
        <f t="shared" ref="AF132:AH132" si="645">IF($Y132=AF$3,"I","")</f>
        <v>#ERROR!</v>
      </c>
      <c r="AG132" s="49" t="str">
        <f t="shared" si="645"/>
        <v>#ERROR!</v>
      </c>
      <c r="AH132" s="50" t="str">
        <f t="shared" si="645"/>
        <v>#ERROR!</v>
      </c>
      <c r="AI132" s="48" t="str">
        <f t="shared" ref="AI132:AK132" si="646">IF($Y132=AI$3,"A","")</f>
        <v>#ERROR!</v>
      </c>
      <c r="AJ132" s="49" t="str">
        <f t="shared" si="646"/>
        <v>#ERROR!</v>
      </c>
      <c r="AK132" s="50" t="str">
        <f t="shared" si="646"/>
        <v>#ERROR!</v>
      </c>
      <c r="AL132" s="48" t="str">
        <f t="shared" ref="AL132:AN132" si="647">IF($Y132=AL$3,"M","")</f>
        <v>#ERROR!</v>
      </c>
      <c r="AM132" s="49" t="str">
        <f t="shared" si="647"/>
        <v>#ERROR!</v>
      </c>
      <c r="AN132" s="50" t="str">
        <f t="shared" si="647"/>
        <v>#ERROR!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5" t="s">
        <v>26</v>
      </c>
      <c r="T133" s="26" t="s">
        <v>211</v>
      </c>
      <c r="U133" s="27" t="str">
        <f t="shared" ref="U133:U134" si="653">VLOOKUP(T133,X4:Y136,2,FALSE)</f>
        <v>#ERROR!</v>
      </c>
      <c r="V133" s="13"/>
      <c r="W133" s="25" t="s">
        <v>26</v>
      </c>
      <c r="X133" s="26" t="s">
        <v>188</v>
      </c>
      <c r="Y133" s="27" t="str">
        <f>VLOOKUP(X133,[1]!Magic_Energies,2,FALSE)</f>
        <v>#ERROR!</v>
      </c>
      <c r="Z133" s="48" t="str">
        <f t="shared" ref="Z133:AB133" si="648">IF($Y133=Z$3,"S","")</f>
        <v>#ERROR!</v>
      </c>
      <c r="AA133" s="49" t="str">
        <f t="shared" si="648"/>
        <v>#ERROR!</v>
      </c>
      <c r="AB133" s="50" t="str">
        <f t="shared" si="648"/>
        <v>#ERROR!</v>
      </c>
      <c r="AC133" s="48" t="str">
        <f t="shared" ref="AC133:AE133" si="649">IF($Y133=AC$3,"B","")</f>
        <v>#ERROR!</v>
      </c>
      <c r="AD133" s="49" t="str">
        <f t="shared" si="649"/>
        <v>#ERROR!</v>
      </c>
      <c r="AE133" s="50" t="str">
        <f t="shared" si="649"/>
        <v>#ERROR!</v>
      </c>
      <c r="AF133" s="48" t="str">
        <f t="shared" ref="AF133:AH133" si="650">IF($Y133=AF$3,"I","")</f>
        <v>#ERROR!</v>
      </c>
      <c r="AG133" s="49" t="str">
        <f t="shared" si="650"/>
        <v>#ERROR!</v>
      </c>
      <c r="AH133" s="50" t="str">
        <f t="shared" si="650"/>
        <v>#ERROR!</v>
      </c>
      <c r="AI133" s="48" t="str">
        <f t="shared" ref="AI133:AK133" si="651">IF($Y133=AI$3,"A","")</f>
        <v>#ERROR!</v>
      </c>
      <c r="AJ133" s="49" t="str">
        <f t="shared" si="651"/>
        <v>#ERROR!</v>
      </c>
      <c r="AK133" s="50" t="str">
        <f t="shared" si="651"/>
        <v>#ERROR!</v>
      </c>
      <c r="AL133" s="48" t="str">
        <f t="shared" ref="AL133:AN133" si="652">IF($Y133=AL$3,"M","")</f>
        <v>#ERROR!</v>
      </c>
      <c r="AM133" s="49" t="str">
        <f t="shared" si="652"/>
        <v>#ERROR!</v>
      </c>
      <c r="AN133" s="50" t="str">
        <f t="shared" si="652"/>
        <v>#ERROR!</v>
      </c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5" t="s">
        <v>26</v>
      </c>
      <c r="T134" s="1" t="s">
        <v>219</v>
      </c>
      <c r="U134" s="27" t="str">
        <f t="shared" si="653"/>
        <v>#ERROR!</v>
      </c>
      <c r="V134" s="13"/>
      <c r="W134" s="25" t="s">
        <v>18</v>
      </c>
      <c r="X134" s="26" t="s">
        <v>195</v>
      </c>
      <c r="Y134" s="27" t="str">
        <f>VLOOKUP(X134,[1]!Magic_Energies,2,FALSE)</f>
        <v>#ERROR!</v>
      </c>
      <c r="Z134" s="48" t="str">
        <f t="shared" ref="Z134:AB134" si="654">IF($Y134=Z$3,"S","")</f>
        <v>#ERROR!</v>
      </c>
      <c r="AA134" s="49" t="str">
        <f t="shared" si="654"/>
        <v>#ERROR!</v>
      </c>
      <c r="AB134" s="50" t="str">
        <f t="shared" si="654"/>
        <v>#ERROR!</v>
      </c>
      <c r="AC134" s="48" t="str">
        <f t="shared" ref="AC134:AE134" si="655">IF($Y134=AC$3,"B","")</f>
        <v>#ERROR!</v>
      </c>
      <c r="AD134" s="49" t="str">
        <f t="shared" si="655"/>
        <v>#ERROR!</v>
      </c>
      <c r="AE134" s="50" t="str">
        <f t="shared" si="655"/>
        <v>#ERROR!</v>
      </c>
      <c r="AF134" s="48" t="str">
        <f t="shared" ref="AF134:AH134" si="656">IF($Y134=AF$3,"I","")</f>
        <v>#ERROR!</v>
      </c>
      <c r="AG134" s="49" t="str">
        <f t="shared" si="656"/>
        <v>#ERROR!</v>
      </c>
      <c r="AH134" s="50" t="str">
        <f t="shared" si="656"/>
        <v>#ERROR!</v>
      </c>
      <c r="AI134" s="48" t="str">
        <f t="shared" ref="AI134:AK134" si="657">IF($Y134=AI$3,"A","")</f>
        <v>#ERROR!</v>
      </c>
      <c r="AJ134" s="49" t="str">
        <f t="shared" si="657"/>
        <v>#ERROR!</v>
      </c>
      <c r="AK134" s="50" t="str">
        <f t="shared" si="657"/>
        <v>#ERROR!</v>
      </c>
      <c r="AL134" s="48" t="str">
        <f t="shared" ref="AL134:AN134" si="658">IF($Y134=AL$3,"M","")</f>
        <v>#ERROR!</v>
      </c>
      <c r="AM134" s="49" t="str">
        <f t="shared" si="658"/>
        <v>#ERROR!</v>
      </c>
      <c r="AN134" s="50" t="str">
        <f t="shared" si="658"/>
        <v>#ERROR!</v>
      </c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79" t="s">
        <v>18</v>
      </c>
      <c r="T135" s="80" t="s">
        <v>142</v>
      </c>
      <c r="U135" s="81" t="str">
        <f>VLOOKUP(T135,X4:Y136,2,FALSE)</f>
        <v>#ERROR!</v>
      </c>
      <c r="V135" s="13"/>
      <c r="W135" s="25" t="s">
        <v>26</v>
      </c>
      <c r="X135" s="13" t="s">
        <v>217</v>
      </c>
      <c r="Y135" s="27" t="str">
        <f>VLOOKUP(X135,[1]!Magic_Energies,2,FALSE)</f>
        <v>#ERROR!</v>
      </c>
      <c r="Z135" s="48" t="str">
        <f t="shared" ref="Z135:AB135" si="659">IF($Y135=Z$3,"S","")</f>
        <v>#ERROR!</v>
      </c>
      <c r="AA135" s="49" t="str">
        <f t="shared" si="659"/>
        <v>#ERROR!</v>
      </c>
      <c r="AB135" s="50" t="str">
        <f t="shared" si="659"/>
        <v>#ERROR!</v>
      </c>
      <c r="AC135" s="48" t="str">
        <f t="shared" ref="AC135:AE135" si="660">IF($Y135=AC$3,"B","")</f>
        <v>#ERROR!</v>
      </c>
      <c r="AD135" s="49" t="str">
        <f t="shared" si="660"/>
        <v>#ERROR!</v>
      </c>
      <c r="AE135" s="50" t="str">
        <f t="shared" si="660"/>
        <v>#ERROR!</v>
      </c>
      <c r="AF135" s="48" t="str">
        <f t="shared" ref="AF135:AH135" si="661">IF($Y135=AF$3,"I","")</f>
        <v>#ERROR!</v>
      </c>
      <c r="AG135" s="49" t="str">
        <f t="shared" si="661"/>
        <v>#ERROR!</v>
      </c>
      <c r="AH135" s="50" t="str">
        <f t="shared" si="661"/>
        <v>#ERROR!</v>
      </c>
      <c r="AI135" s="48" t="str">
        <f t="shared" ref="AI135:AK135" si="662">IF($Y135=AI$3,"A","")</f>
        <v>#ERROR!</v>
      </c>
      <c r="AJ135" s="49" t="str">
        <f t="shared" si="662"/>
        <v>#ERROR!</v>
      </c>
      <c r="AK135" s="50" t="str">
        <f t="shared" si="662"/>
        <v>#ERROR!</v>
      </c>
      <c r="AL135" s="48" t="str">
        <f t="shared" ref="AL135:AN135" si="663">IF($Y135=AL$3,"M","")</f>
        <v>#ERROR!</v>
      </c>
      <c r="AM135" s="49" t="str">
        <f t="shared" si="663"/>
        <v>#ERROR!</v>
      </c>
      <c r="AN135" s="50" t="str">
        <f t="shared" si="663"/>
        <v>#ERROR!</v>
      </c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9" t="s">
        <v>26</v>
      </c>
      <c r="X136" s="80" t="s">
        <v>220</v>
      </c>
      <c r="Y136" s="81" t="str">
        <f>VLOOKUP(X136,[1]!Magic_Energies,2,FALSE)</f>
        <v>#ERROR!</v>
      </c>
      <c r="Z136" s="82" t="str">
        <f t="shared" ref="Z136:AB136" si="664">IF($Y136=Z$3,"S","")</f>
        <v>#ERROR!</v>
      </c>
      <c r="AA136" s="83" t="str">
        <f t="shared" si="664"/>
        <v>#ERROR!</v>
      </c>
      <c r="AB136" s="84" t="str">
        <f t="shared" si="664"/>
        <v>#ERROR!</v>
      </c>
      <c r="AC136" s="82" t="str">
        <f t="shared" ref="AC136:AE136" si="665">IF($Y136=AC$3,"B","")</f>
        <v>#ERROR!</v>
      </c>
      <c r="AD136" s="83" t="str">
        <f t="shared" si="665"/>
        <v>#ERROR!</v>
      </c>
      <c r="AE136" s="84" t="str">
        <f t="shared" si="665"/>
        <v>#ERROR!</v>
      </c>
      <c r="AF136" s="82" t="str">
        <f t="shared" ref="AF136:AH136" si="666">IF($Y136=AF$3,"I","")</f>
        <v>#ERROR!</v>
      </c>
      <c r="AG136" s="83" t="str">
        <f t="shared" si="666"/>
        <v>#ERROR!</v>
      </c>
      <c r="AH136" s="84" t="str">
        <f t="shared" si="666"/>
        <v>#ERROR!</v>
      </c>
      <c r="AI136" s="82" t="str">
        <f t="shared" ref="AI136:AK136" si="667">IF($Y136=AI$3,"A","")</f>
        <v>#ERROR!</v>
      </c>
      <c r="AJ136" s="83" t="str">
        <f t="shared" si="667"/>
        <v>#ERROR!</v>
      </c>
      <c r="AK136" s="84" t="str">
        <f t="shared" si="667"/>
        <v>#ERROR!</v>
      </c>
      <c r="AL136" s="82" t="str">
        <f t="shared" ref="AL136:AN136" si="668">IF($Y136=AL$3,"M","")</f>
        <v>#ERROR!</v>
      </c>
      <c r="AM136" s="83" t="str">
        <f t="shared" si="668"/>
        <v>#ERROR!</v>
      </c>
      <c r="AN136" s="84" t="str">
        <f t="shared" si="668"/>
        <v>#ERROR!</v>
      </c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6">
    <mergeCell ref="Z2:AB2"/>
    <mergeCell ref="AC2:AE2"/>
    <mergeCell ref="AF2:AH2"/>
    <mergeCell ref="AI2:AK2"/>
    <mergeCell ref="AL2:AN2"/>
    <mergeCell ref="K29:P29"/>
    <mergeCell ref="K30:P30"/>
    <mergeCell ref="K43:O43"/>
    <mergeCell ref="K44:O44"/>
    <mergeCell ref="K31:P31"/>
    <mergeCell ref="K32:P32"/>
    <mergeCell ref="K33:P33"/>
    <mergeCell ref="K39:O39"/>
    <mergeCell ref="K40:O40"/>
    <mergeCell ref="K41:O41"/>
    <mergeCell ref="K42:O42"/>
  </mergeCells>
  <conditionalFormatting sqref="Z4:AN136">
    <cfRule type="containsBlanks" dxfId="0" priority="1">
      <formula>LEN(TRIM(Z4))=0</formula>
    </cfRule>
  </conditionalFormatting>
  <conditionalFormatting sqref="Z4:AN136">
    <cfRule type="notContainsBlanks" dxfId="1" priority="2">
      <formula>LEN(TRIM(Z4))&gt;0</formula>
    </cfRule>
  </conditionalFormatting>
  <conditionalFormatting sqref="AC4:AE136">
    <cfRule type="notContainsBlanks" dxfId="2" priority="3">
      <formula>LEN(TRIM(AC4))&gt;0</formula>
    </cfRule>
  </conditionalFormatting>
  <conditionalFormatting sqref="AF4:AH136">
    <cfRule type="notContainsBlanks" dxfId="3" priority="4">
      <formula>LEN(TRIM(AF4))&gt;0</formula>
    </cfRule>
  </conditionalFormatting>
  <conditionalFormatting sqref="AI4:AK136">
    <cfRule type="notContainsBlanks" dxfId="4" priority="5">
      <formula>LEN(TRIM(AI4))&gt;0</formula>
    </cfRule>
  </conditionalFormatting>
  <conditionalFormatting sqref="AL4:AN136">
    <cfRule type="notContainsBlanks" dxfId="5" priority="6">
      <formula>LEN(TRIM(AL4))&gt;0</formula>
    </cfRule>
  </conditionalFormatting>
  <dataValidations>
    <dataValidation type="list" allowBlank="1" showErrorMessage="1" sqref="L6 P6 L15 P15 L24 P24">
      <formula1>$B$7:$B$11</formula1>
    </dataValidation>
    <dataValidation type="list" allowBlank="1" showErrorMessage="1" sqref="L3 P3 L12 P12 L21 P21">
      <formula1>$T$2:$T$135</formula1>
    </dataValidation>
    <dataValidation type="list" allowBlank="1" showErrorMessage="1" sqref="L8 P8 L17 P17 L26 P26">
      <formula1>$B$29:$B$39</formula1>
    </dataValidation>
    <dataValidation type="decimal" operator="greaterThanOrEqual" allowBlank="1" showErrorMessage="1" sqref="I2:I3 Q30">
      <formula1>0.0</formula1>
    </dataValidation>
    <dataValidation type="list" allowBlank="1" showErrorMessage="1" sqref="L5 P5 L14 P14 L23 P23">
      <formula1>$B$3:$B$5</formula1>
    </dataValidation>
    <dataValidation type="decimal" operator="greaterThanOrEqual" allowBlank="1" showErrorMessage="1" sqref="L4 P4 L13 P13 L22 P22">
      <formula1>1.0</formula1>
    </dataValidation>
    <dataValidation type="list" allowBlank="1" showErrorMessage="1" sqref="L7 P7 L16 P16 L25 P25">
      <formula1>$B$13:$B$27</formula1>
    </dataValidation>
  </dataValidations>
  <printOptions/>
  <pageMargins bottom="0.75" footer="0.0" header="0.0" left="0.7" right="0.7" top="0.75"/>
  <pageSetup orientation="portrait"/>
  <drawing r:id="rId2"/>
  <legacyDrawing r:id="rId3"/>
</worksheet>
</file>